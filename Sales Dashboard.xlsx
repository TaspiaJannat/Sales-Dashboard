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Data Analysis Projects\Excel\ostad\"/>
    </mc:Choice>
  </mc:AlternateContent>
  <xr:revisionPtr revIDLastSave="0" documentId="13_ncr:1_{F11505F4-C9D6-4BF4-B276-23A930D67A78}" xr6:coauthVersionLast="36" xr6:coauthVersionMax="36" xr10:uidLastSave="{00000000-0000-0000-0000-000000000000}"/>
  <bookViews>
    <workbookView xWindow="0" yWindow="0" windowWidth="19200" windowHeight="8130" activeTab="3" xr2:uid="{760EB53D-68CC-4499-B6A8-6D7E99A8092D}"/>
  </bookViews>
  <sheets>
    <sheet name="Sheet3" sheetId="4" r:id="rId1"/>
    <sheet name="Sheet2" sheetId="3" r:id="rId2"/>
    <sheet name="Dataset" sheetId="1" r:id="rId3"/>
    <sheet name="DashBoard" sheetId="2" r:id="rId4"/>
  </sheets>
  <definedNames>
    <definedName name="_xlchart.v5.0" hidden="1">Sheet2!$I$10:$I$14</definedName>
    <definedName name="_xlchart.v5.1" hidden="1">Sheet2!$I$9</definedName>
    <definedName name="_xlchart.v5.2" hidden="1">Sheet2!$J$10:$J$14</definedName>
    <definedName name="_xlchart.v5.3" hidden="1">Sheet2!$J$9</definedName>
    <definedName name="Slicer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3" l="1"/>
  <c r="I13" i="3"/>
  <c r="I12" i="3"/>
  <c r="I11" i="3"/>
  <c r="I10" i="3"/>
  <c r="J13" i="3"/>
  <c r="J12" i="3"/>
  <c r="J11" i="3"/>
  <c r="J14" i="3"/>
  <c r="J10" i="3"/>
  <c r="H313" i="1" l="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C4" i="3"/>
  <c r="C5" i="3"/>
  <c r="C6" i="3"/>
  <c r="C7" i="3"/>
</calcChain>
</file>

<file path=xl/sharedStrings.xml><?xml version="1.0" encoding="utf-8"?>
<sst xmlns="http://schemas.openxmlformats.org/spreadsheetml/2006/main" count="1060" uniqueCount="69">
  <si>
    <t>Name</t>
  </si>
  <si>
    <t>Region</t>
  </si>
  <si>
    <t>Date</t>
  </si>
  <si>
    <t>Total Calls</t>
  </si>
  <si>
    <t>Calls Reached</t>
  </si>
  <si>
    <t>Average Duration (sec)</t>
  </si>
  <si>
    <t>Deals Closed</t>
  </si>
  <si>
    <t>Call Conversion Rate (%)</t>
  </si>
  <si>
    <t>Deal Value ($)</t>
  </si>
  <si>
    <t>Service Level</t>
  </si>
  <si>
    <t>Call Drop Rate (%)</t>
  </si>
  <si>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</si>
  <si>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</si>
  <si>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</si>
  <si>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</si>
  <si>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</si>
  <si>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</si>
  <si>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</si>
  <si>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</si>
  <si>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</si>
  <si>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</si>
  <si>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</si>
  <si>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</si>
  <si>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</si>
  <si>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</si>
  <si>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</si>
  <si>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</si>
  <si>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</si>
  <si>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</si>
  <si>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</si>
  <si>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</si>
  <si>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</si>
  <si>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</si>
  <si>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</si>
  <si>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</si>
  <si>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</si>
  <si>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</si>
  <si>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</si>
  <si>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</si>
  <si>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</si>
  <si>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</si>
  <si>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</si>
  <si>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Sales dashboard</t>
  </si>
  <si>
    <t>Sales Agent KPI</t>
  </si>
  <si>
    <t>Sum of Total Calls</t>
  </si>
  <si>
    <t>Sum of Calls Reached</t>
  </si>
  <si>
    <t>Sum of Deals Closed</t>
  </si>
  <si>
    <t>Values</t>
  </si>
  <si>
    <t>Sum of Deal Value ($)</t>
  </si>
  <si>
    <t>Row Labels</t>
  </si>
  <si>
    <t>Grand Total</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</si>
  <si>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</si>
  <si>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</si>
  <si>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</si>
  <si>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</si>
  <si>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</si>
  <si>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</si>
  <si>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</si>
  <si>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</si>
  <si>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</si>
  <si>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</si>
  <si>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</si>
  <si>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</si>
  <si>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</si>
  <si>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</si>
  <si>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</si>
  <si>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</si>
  <si>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Months</t>
  </si>
  <si>
    <t>Sum of Average Duration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</si>
</sst>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family val="2"/>
      <scheme val="minor"/>
    </font>
    <font>
      <sz val="11"/>
      <color theme="1"/>
      <name val="Aptos Narrow"/>
      <family val="2"/>
      <scheme val="minor"/>
    </font>
    <font>
      <sz val="10"/>
      <color theme="2" tint="-9.9978637043366805E-2"/>
      <name val="Aptos Narrow"/>
      <scheme val="minor"/>
    </font>
    <font>
      <sz val="8"/>
      <color theme="1"/>
      <name val="Aptos Narrow"/>
      <family val="2"/>
      <scheme val="minor"/>
    </font>
    <font>
      <sz val="20"/>
      <color theme="0"/>
      <name val="Aptos Narrow"/>
      <scheme val="minor"/>
    </font>
  </fonts>
  <fills count="4">
    <fill>
      <patternFill patternType="none"/>
    </fill>
    <fill>
      <patternFill patternType="gray125"/>
    </fill>
    <fill>
      <patternFill patternType="solid">
        <fgColor theme="0" tint="-4.9989318521683403E-2"/>
        <bgColor indexed="64"/>
      </patternFill>
    </fill>
    <fill>
      <patternFill patternType="solid">
        <fgColor rgb="FF7030A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3" borderId="0" xfId="0" applyFont="1" applyFill="1" applyAlignment="1"/>
    <xf numFmtId="0" fontId="0" fillId="0" borderId="0" xfId="0" applyNumberFormat="1"/>
    <xf numFmtId="0" fontId="0" fillId="0" borderId="0" xfId="0" pivotButton="1"/>
    <xf numFmtId="0" fontId="0" fillId="0" borderId="0" xfId="0" applyAlignment="1">
      <alignment horizontal="left"/>
    </xf>
    <xf numFmtId="0" fontId="3" fillId="0" borderId="0" xfId="0" pivotButton="1" applyFont="1" applyAlignment="1">
      <alignment horizontal="left"/>
    </xf>
    <xf numFmtId="0" fontId="3" fillId="0" borderId="0" xfId="0" applyFont="1" applyAlignment="1">
      <alignment horizontal="left"/>
    </xf>
    <xf numFmtId="0" fontId="3" fillId="0" borderId="0" xfId="0" applyNumberFormat="1" applyFont="1" applyAlignment="1">
      <alignment horizontal="left"/>
    </xf>
    <xf numFmtId="0" fontId="4" fillId="3" borderId="0" xfId="0" applyFont="1" applyFill="1"/>
  </cellXfs>
  <cellStyles count="2">
    <cellStyle name="Normal" xfId="0" builtinId="0"/>
    <cellStyle name="Percent" xfId="1" builtinId="5"/>
  </cellStyles>
  <dxfs count="166">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left"/>
    </dxf>
    <dxf>
      <alignment horizontal="lef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horizontal="left"/>
    </dxf>
    <dxf>
      <alignment horizontal="left"/>
    </dxf>
    <dxf>
      <alignment horizontal="left"/>
    </dxf>
    <dxf>
      <alignment horizontal="left"/>
    </dxf>
    <dxf>
      <alignment horizontal="left"/>
    </dxf>
    <dxf>
      <alignment horizontal="left"/>
    </dxf>
    <dxf>
      <font>
        <sz val="9"/>
      </font>
    </dxf>
    <dxf>
      <font>
        <sz val="9"/>
      </font>
    </dxf>
    <dxf>
      <font>
        <sz val="9"/>
      </font>
    </dxf>
    <dxf>
      <font>
        <sz val="9"/>
      </font>
    </dxf>
    <dxf>
      <font>
        <sz val="9"/>
      </font>
    </dxf>
    <dxf>
      <font>
        <sz val="9"/>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d/mm/yyyy"/>
    </dxf>
    <dxf>
      <numFmt numFmtId="19" formatCode="m/d/yyyy"/>
    </dxf>
  </dxfs>
  <tableStyles count="1" defaultTableStyle="TableStyleMedium2" defaultPivotStyle="PivotStyleLight16">
    <tableStyle name="Invisible" pivot="0" table="0" count="0" xr9:uid="{845595A4-FA27-4C93-8A2A-8BE677DD5CE0}"/>
  </tableStyles>
  <colors>
    <mruColors>
      <color rgb="FFCCFF33"/>
      <color rgb="FFFFFF99"/>
      <color rgb="FF66CCFF"/>
      <color rgb="FF00CCFF"/>
      <color rgb="FF3399FF"/>
      <color rgb="FF91D6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 Value By Month</a:t>
            </a:r>
          </a:p>
        </c:rich>
      </c:tx>
      <c:layout>
        <c:manualLayout>
          <c:xMode val="edge"/>
          <c:yMode val="edge"/>
          <c:x val="0.26324939620120497"/>
          <c:y val="2.7286259576683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63821568463918"/>
          <c:y val="8.1557392114461294E-2"/>
          <c:w val="0.75739132331450243"/>
          <c:h val="0.7145811807460718"/>
        </c:manualLayout>
      </c:layout>
      <c:bar3DChart>
        <c:barDir val="bar"/>
        <c:grouping val="stacked"/>
        <c:varyColors val="0"/>
        <c:ser>
          <c:idx val="0"/>
          <c:order val="0"/>
          <c:tx>
            <c:strRef>
              <c:f>Sheet2!$B$9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Sheet2!$B$10:$B$21</c:f>
              <c:numCache>
                <c:formatCode>General</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E1EE-46D1-B7DC-20E0B5577F84}"/>
            </c:ext>
          </c:extLst>
        </c:ser>
        <c:dLbls>
          <c:showLegendKey val="0"/>
          <c:showVal val="0"/>
          <c:showCatName val="0"/>
          <c:showSerName val="0"/>
          <c:showPercent val="0"/>
          <c:showBubbleSize val="0"/>
        </c:dLbls>
        <c:gapWidth val="66"/>
        <c:shape val="box"/>
        <c:axId val="554484319"/>
        <c:axId val="268943567"/>
        <c:axId val="0"/>
      </c:bar3DChart>
      <c:catAx>
        <c:axId val="5544843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43567"/>
        <c:crosses val="autoZero"/>
        <c:auto val="1"/>
        <c:lblAlgn val="ctr"/>
        <c:lblOffset val="100"/>
        <c:noMultiLvlLbl val="0"/>
      </c:catAx>
      <c:valAx>
        <c:axId val="268943567"/>
        <c:scaling>
          <c:orientation val="minMax"/>
        </c:scaling>
        <c:delete val="1"/>
        <c:axPos val="b"/>
        <c:numFmt formatCode="General" sourceLinked="0"/>
        <c:majorTickMark val="none"/>
        <c:minorTickMark val="none"/>
        <c:tickLblPos val="nextTo"/>
        <c:crossAx val="554484319"/>
        <c:crosses val="autoZero"/>
        <c:crossBetween val="between"/>
      </c:valAx>
      <c:spPr>
        <a:noFill/>
        <a:ln w="25400">
          <a:noFill/>
        </a:ln>
        <a:effectLst>
          <a:softEdge rad="381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DDD54EDB-BC23-4CA0-8223-E5D11D604FF5}">
          <cx:dataLabels>
            <cx:visibility seriesName="0" categoryName="0" value="1"/>
          </cx:dataLabels>
          <cx:dataId val="0"/>
          <cx:layoutPr>
            <cx:geography cultureLanguage="en-US" cultureRegion="US" attribution="Powered by Bing">
              <cx:geoCache provider="{E9337A44-BEBE-4D9F-B70C-5C5E7DAFC167}">
                <cx:binary>1HvZct24luWvZPi54QRAgCBuVPYDSJ5Z0pEseXphyJLMGSQIAhze6t/6w3orh1tOpa5dWVEd0eUH
Z/hw2Njz2msz/+1h/sdD83Q//DS3jbb/eJh/eVOMY/+Pn3+2D8VTe2/ftuXD0Nnu6/j2oWt/7r5+
LR+efn4c7qdS5z9TTNjPD8X9MD7Nb/73v8Hb8qfu1D3cj2Wnr93TsNw8WdeM9jvXXr300/1jW+qk
tONQPozklzc39zrv3fDmpyc9luNyu/RPv7z5001vfvr55av+IvanBk42ukd4lvK3URBgjImQv/15
81PT6fz3y5H8Q9TlfQu3/y7/p6T0pQXl/rj62kF+Pcb94+PwZC0o8ut/X3vDn47/2g0PndPjsw1z
kPjLGwU2aO4fn2zx5qfSdvFvV+PuWR2V/Kr/z392wUuDvNCfS0pZQF7X/y3BNKCcMbDRs5n+0Ph/
tj1eGAgi5MUv30TtS+v96NJfgjYuynG8zyGq/jDea+HyN+OWvmWCBCJkr/pNkrdRRAPORPCbW8Uf
on/zW1zcj2OXD/ftH7+/dqTXI/jbZ1/E7reX/hui9oVP/t96Sd0Ppb1vvmePv++igIdhQF93EX5L
gyCk4o/Me+GiX8/zf/79uwd63UH/8eQL9/zHhf9pzkmK+/r+v9E17C0WoYiE5H8q9xK/JZRwLsnv
5Y7+IfO3tPnhMV53yO+PvfDG77/+T3PFu6UpnsY/7PJa2fibacLeCsIpxv+ykoVhSKKAid860Is0
+fFxXvfJH8+9cMofP///7pXvnO9baPSn2/4uNAreRoIFWPLfewhgoW+gEeQK5VC+Ihn91mKiP2Li
t1z5Fqb86yO97pxvn/2TCv819PP3+siLu79p9/8Eksn9eJ/+ikD/01d/VRRg8YtHvwdkf7Pa/vGX
N4JRHEYYRyQIIh6QiAEO+yfOfX7l7+/5Pir7l696urfjL28iCaCBS4Y5J4ILEPbmp+np1yvRWxwJ
zCWmWMoQS/bmJ90NYwEAOnwbBgyHkjEqGNwAD9nO/XqJv8WBkM/dLyJhJBn/53Bw7poFANE/Dfr7
v3/Srj13pR7tL29ARP/bXf/y2P3D/Q3MH3Az+V+0WxAlmVl2WUgTm0dqXJrtN1b6z4oQASMC+jaG
uQCO8I2IYAlHH/p52S1e7uaFXhd1+PR9EeFrWnwj4lnLb0QI3U7DPPtll+Ps1JXysaQo9qLolAiL
5PuyoJf9xWLPvqISPBPS55j5VhaJRlrJgM27rq/vbNccA5vvm27a/UAMfk0OCQNMKPyRAir0t3Jc
1pIJk2neBb0bjySrj7xo74Vzh8AXhcKezInphhjVw03o5tuiIrHL2DbP2RFX9N419CLq6KI6V1wv
E9rmonzqorCNOyRPIPY0F3ZjI+8VzInnAs03zvo51mYs40jYA5rQhW6bXk1lWah68CRBwbr3lfjc
S/mx9PI4675S0lddMpUs5lW4h6H2EvsgVGsnnOIyMMnCSRVrSd4Nug9TPWefUbh0mx+Y66/WkhRD
GoNTokDiZ699EwFy1pOOFj7vllnuGmOJojY6LVXF1fcFPZv9RcJIykAOZjiikH8vBAVrv4wmmndz
WbzjOc6VzOSXqKUfaeESFMofhNsroS1pFAYkJCBSBC/CYOKgwoqyeTfOTRpoo7oBJbZpkiYb4++r
9kotkFSGENPPqOHXavitDSES1pa6ftk1UaNw73edkD8Q8UryyAAHTHLobyF/GdQrNeW0GhARTcFm
Xrmq80r5rj1+XxPymtUCyE0CEIcCJH0RDriQmUEtnne967Gynbnq536b47FWAotCTU32lcsiKQu8
QnxXsYtmr3zfP1ncnnWEjuHUbMJujH4QPgSw7l/i59uTPZ/8m0DtBtNysD/Ej5QHO8yDGkb7buZm
vwA1E2d8KJRH0T4n3YHP5Z41jCroGhfft9BrvoYuAv2HASoPxYuiTD0d2iBvl90a9tuBk3d21sMP
dH3NCYyxQGBJQoirF07weYVJM7hlN9ttg68HcVXoaDOMYvP3daFBRAnkZSj4S2e7iLg8KiAlc7pB
5S5CH7///teClnF4O+QhC9kzW/Oty4pJr8NohmUnGrqZmyJFWXa5TGL/fTGvmusbMc+R801kZEyv
UTFBK27YgwxnpUujXN+rKGfp9yXxV3qL5FC8AlBJYiZfFBWCOm8JA+8zXFz0mjsVtPzS4/a5ou8i
6owq6Xhyod1PZr4uUfEoA2qVYGZVEVt3MxmO0RLcBwW+GczYKM65i+sIaEdmhqfIrk8F9U5Js3y1
mBRKWn+S0fTRRfm5pMFns/rtaLo7Q2itMHAyqnFTkQS+T9c6v24rX6pxFi6drbnofP/FLMUxjMYv
RSs3TY720ZxVsYWTi2LaZJXPVVboJEA/KoqveQUIH8YxCSgGtPZnrzTY1UPVgVcEbp+4HvejFUPc
z/Pekv4HSUmeI+nPzUVQcMtzThKApeGLSONWTmVRZeuucqFX0qEu7rncioHs8tlu8rr8sE4LVkVH
7sfQ7dlE9I9i47UjCEqECCIWcvqiv/HFsbaLcrwLCD56Paah09smFD+o0H/NKdD0P8QEzxH6TbD/
V8X8tVsLIGGDMIwIZzKiL7yXF11I/VyC98SoenuNxj1vrWrsZu7f/yCpXjEch6EOtHr+62WglKQn
XWD4ugtL96DrIZWl0QoGvb9d7QTlQENGIWDCEBDPny1HTOHbls3rTrpe1ZQoSKn/igj5PLTAEErg
rz+LmKqRQSFa192Ih8fa4CN27vR9az2/4mWkhwQAABNQhoKXYSbyaVjqLlt2NKMX5cQfc88mla3R
1dR2H5moNh0U/Djrmv4HEOTVJAuh4xHoTGBI9kK7sagHzcJq3U0N48kiSVqRzseyYZuSj5li2Ou0
QeQQNcWjYcugMIu+fl/9v7ZfkA/gEZoizER/wUFtZWTDmw7vsKFXha8PRrP+B+2X/jpa/tnKBPrJ
czAGz0YW8mWXd2PZIxa5XaSt4kGXGL4h5MkOJw6FsnPTbtabaNmh4BT2G9yYVJKbDMPcMCQR+oCX
+7J9qpiiw3bS1+is6QfKNmv+xei0ZdswuyV5odouwXS+ama2cZnfevqhq/bjEh6CICnkvSyXd43T
x0A3RewbV6YlW13c2WwvULbFMkxCCiNH4K501WzZKCrVkuCyKIZHU9UJyz7gr0W9JL2vY1ys8Sph
0sHdURCfDhVLKcfbhTTJhMSm5SWkdha7aTvMY1K4J1M3yrfS7mXd9tBQdZRQK3aZTuyyIwhQqNtm
tFeafcFRnmjb7wQqY+sWpecF0H08hjzp0Z3tczUwfOyLPGkRHJJrvCt6v5G0UnWHVBEMqpuiZDb6
LOgYR4ZfT7Q9meke1TiOQGlLt1DeN7q4l/lN49K1qD9mI70pdKfWrFZLx7zqabRra7YnYRG74iLs
Hstmb7OPkamM4ngGgeOeIrx3uU8j1CtJdGyqNmlD06ou87tmsFk8hdDfs+qASZu23pbKNlS1WO49
q7d4KHs1RHXSG+Hjip37KUwhaTZFJ96NAKQgROOgRwnAh7taszhcx9Mi8BrzmdQKStPeLRbGBP+B
FzBy17Eh+5AehLyIShlzX6VDf1XUkimeX5r+Zsq/2qzwMEfaNOyWw2KL5wMU23HQ8ZzDmNnXvUK4
vK3L4CSLVfEibccFBpEpHbuD7xPs7ac5dzuZ+7uCsT1vbmXNNqKNTmJet13DklFMW53dCsLiOl9j
PYht3Z8q7yGKCtVMpcohYLt5p9d3CNcxGburkMmdnNim0Prs3bxFq6FK9rdQH79k8tQxmlDOr0bL
VWmGPra+S8dyWy/lVSDKUi1AbdhovQy7NZ5pcaqmQZV9UCeBwYoFWTxPQWzyOpbLJs9GCHCTurpS
pqOJFhddnyc8urV5CmI5/5R312Z+Mo6qKbwYg02va5jYZxUFSwp7S+YuND9keeIYDArQy/wwqsB8
Wdy1a29atIvyXclVnx+D7ipfgpR4wPf3eXlB+9jctwXbY574/mDAYqZRhN0v84HlgUJdlBT2WFa1
sk+DIap1tQrAWsttWAvFwg2BnXZ0m7dpWRLVo+ITzMGxz/tEBmet7wkKY0qvmMtUP+dxJJPIbPOG
J3XWXw6uB+t0Gzl5hel9IXUcuCzONYlNS2LBTzM4WpTLAa14J+s5rmaxCcR6zfUtbb/O2O2Q2Gty
YpdVv82GZGgGFdkslbMNt2XuUezmfr0cSb0mIaJKdLJQ+WjugxZf+DyTO9EHgJ1s3iqj12Ti9M6O
RZOMbaevhO5TOi+3jlPIoaA5CmOTFftuZ3IYFPu8rVM2R7MygtSbDlrGoeSRSFdXms9uEofRAwwe
JxQqNBV7D1yKini0HoATvKmaKt8Ap1TEYUUGlcPUZyU+uobDCWF2SuGduWI8eyR8bOFaYPahm8yu
LMUao4qmOKDu1oboU8iiOGJn2LodV6I/V5SmRbSul3bVteq9c0k/LGlRT/uaLFZlkSAxnju1+Ayy
w+h3azWc8nYdNw3cGKN89Cdal0jNzVWoaexHkqu2bUWKNFbC613AVr5rxj6Mw5IWcV3Ji7EuNjjM
3ufBtaD22lX1ZYXmmBuwKsKJlH6bieWTW4pZrbQUaqlKlCxtUcUzmdUEYY1zHyVAEnyIcH8/ExRP
mowbM7YzQH52QwcoVvVI9zAzzFMRFxWMAz7puO+O64JZ3I3AXc2BmvJqUdbqc9bWn/lIrjOBoYfz
NVe2rC6GzO2rHFLYlqxMXBklZi55rIPwk8z5RdMv53AOPmH/MPLyXBnzvqbiOA3NUQofKGqMh4rn
H3g19MoM5K4CglR5yx8n8wn56XNQgDOjrIPSvsY9VPy6x8fZs1tw3deib++AHny0xnFwPTp2aN0G
/XTR1v0OdcNVH/INFfYmqtymISYuivVLa3mvqF6hbNFYOH8buDlIcNCDFYhJGjmf87D9SBZDoTXN
qoUcWGRzimq/n9tyx4TbT1rUscjMcTL8kxv7AhqxPnC3PrYZuwscHG+Rtwug4zhsg1sjskPn2abt
5uuuCmNRFV+LKhxVhOiXHqPtoOl5iZBRZM527YgSQiCmZqmDUycRikWHy7gWz622CLO0ktM7PPbd
YRr0TZdTE/cEbaWmW76g4yjqIg3KWScGhou4bqbwXV1rmWRSZHE1WehoK6AOWXfFVdjJRgkRbQsn
y2Qk021m6V3t3Kj82J3atvukCygWHfExIl0b0zVr46Zv3+Vz/aWr8SmTQaWcHapYmv6BWEhMRGyd
5MwOqq6XPhWiy7dZIG+yBZ2R1Y2qJrzHa24VscGhQFrAG6GoBjNOcz3ipHHjJsJFXObNNmfwo3HX
EW5aqIRBApx9SiFdLJmpChlEIh24V4OL9sMaQmEi0DUkMwJ+4lOcOQfsywQ0VT6gGMaVu2Kk72kz
xJxYraolet85q5OITDdDV2IVzBNTpkFJCbBKWWjvSzscsK33KILkZUG4QVl+1xD0nnuZkhY4tmmV
ivDuMA6TSbGfd7aChgHETF81Z5qhs8XNGSb7PSrrdGLr2Q7k2A8IZv6y+RhV+FAy0C70m7WqwNWI
7NCk3/VmHtI6zDaUdlQNJvjoNCSnEPWxKhoXG1yuKkNgKepJe8RyOrqq88qYFjBTbnZSo2c0odOK
i8sZRYe88Ne6WZ/ywi4Jq5oCegngV5Z/bLtAK+1qKIjWbABWrwrZHOCSbbiauLNpLcJBAdv8oWh8
Kqo6nrC81Gv2keW0ikXpw23T04s6b64ybkRchsBpAJl+6wKAdfPI4zVA9x4FVzT0NZQpfN0G7WUv
xk6ZYvjATVVdOhdctb1ksdYAIEQX3KyBBWlQo3mVjkbshG4uAI87QDTL+5HnRWyb+oqS/h3veBkX
xpWJWVZIJk5aiFx0E63A6Fd9oLScLsYeuhDAXVzxD17U7yvW0JgN842vvd60w2oOvF696ug8xF2m
taJZfjOgMeGO7pbasqQIWSpbs5ts8EVT/mTraoxxY41qomXfFNBeXN7JQ+ugVz+PCHHms/wQtEO9
cbggR9b5AYh9HctAXECIlFvuBVNRuwA4IAgpNKynFgOYLEN/m7H6qnTTsdM0ndboojLabzjjn9GI
N91aH9asAtdBxE4iY0kzYr6leXjSK43x2sH5i304ipSsIeygoCeWfQQdJ4+Hln1yfNxQPV4BKR3X
A7SksE27UXxAuYXr9b6hAVQ6oVxl4wxw6AIwrlgBt0ywezAwpTDXpKhvnoSAMA26TRGBzrI8lADV
o54dIHRSXPmD9Eu8elnFa9TdjXzdtPOSgxeWYwFUUzMEiTPZ1ss2GWjp1Tqv97pFF2W73BMJTUEv
7Y6sCGDcekHAtfHstkM/qBHN58jy97ls4m6trjF6aPJNv8JEMPp6vzJI/bbvT7bMSsVM91DBCFIA
RxZNfOPGaSOjcFvZ8VEj+4lKHnvq99o070aapb4CuEAuHLGbCOF4AGxqQ5O2cvq0imZrQ5uODCe4
z9KVnKuq3fasSIx5MEuV0HpQ4VTf1IGPswEfxUze9X2w8ZVL2qq+do1PJnb0MHYwbGKB0f3q2gMh
n8LCp304JXX0xYiN69ghWD+u7S43Vzh/on7c90bH2RSBF/BtFK3bYrzQ67pvW5M2Q7idVnRV1/Ji
5jgNJnvZkz3t72BpnkKjTU0fnaKe3NR63jlfPrV0r7v32arjQlCwqIF+KCG1+yYVVsRMmDTLXbJU
ZNONS+JGmiKqN9yA8RAqkoVJ6CFmv7b9thNrAZg9Ogd9ubX5eFgKgBQ2cwr5BvCE67/kejiGY3/K
MN7NeRbbYPxgpnzPp2CEgdBdYsC9Im8StiSDpFuRtRejg9IL5DBVOQdiBi1jjHiIAAXDJo3Nvcqa
5pBH+ppVwYUNw3Pduk3FhwQ4v1NY5tdTKDdyHFMH01nQhI914W56Q3drRR8dnRJbNdFhpSKd3QBb
rgjY2QGK/dinCxPg4OHoe3lJh/Ex0u5D6YHvKicV8P44yunLvAK7oeXF6mvgducGK7J+1bp97AGI
+zlLelFcGd69cxC3TX7ZwMSoYBnRJk0e3mn8PGRMtlZahx/6GjYjLp79sV6GbbSWEK13Uhexrrp4
MbvQZZ+7fn1fTO4sGH5XNcipsS7fhybYNhHZwlZyK5buvS2hvwwFTvIeumLoNnipdq1AF3PbxUZc
DrZPUGMUgqHYyPkQtZDma/5uJi5ZbX4YUXAHpSEhs9jTYbmgkz6KcDrD0hR2zHGk6dUAjWpemvMq
5zhj+GBLs8UebyRUc2S2sEiLl5yfmnUQMadFIp25XPtmVVWOdmsBdRLJzVBopDrbJKQZ93nfAv1d
JF6D8zP2NSi7d+GyhYEOaX8ru/Izb6tT4KcDJ/WR4f46m5ZdCZCX1O4Z+7tElPUNXqdTZ4dN0Idq
qOgXi6azH1uocaG5rPv6EtmgitEADVd4A8QAT2sWfin5cFfmZIt8EMui/eCs2/V8TcU6vifTsh8z
FAOwPawL2TYGdmu13TBPDjnugc/o5dZ0V5riU1PYZIbij2j3aQy6I17clemmtCqry6CyyqzBlvnp
jrlx39UyodlzE3ZJbapPEAhfR7ZcVaWBbrbaNGN5GZeTmAFykximlMQjtF1he5UxIFxRtOv8uoEk
SJdKpNq4oxuArglYwlyh1SSHQ2dWgKfLPvDA5E8B32LIV2XR8mGy4zmn8w42M0lFuMJGbkO8nB2a
TpmFApB3UHbmmxImHIABkNwlQxRW4SEc1hzbor2OUAExMdWqtP1VjbFRfTOdljWDl2fnieepwGBS
bFM3yEitsnta1iLV/trwWrE+2yJYpgdT9sUY+on1lMZ9NV5GzQKobqE3UQDgZ5n0vUGBUCRbbtex
Zmlry0ZRMR+1wWeGgRxZANJosp8Ije0Sntw6HfHQwLHrbjPM4amIAqLyWqaoA7f2896ProS6xGM6
Fkloh3RgTYIH/1BgylSw9NDNmkNTWpgjuzwtu+GecF/EI45iiYNEzm2hDCiIhzAtbL0ZoTbpYbpp
tL4ZefGoG8iAvNb3XmKhMuoTFOlUAE4zePnE5vAelQLYrOFygtZSlMOhzdDHfJxTUfizZsUmbGky
RkUaVpATroypYXlCG7vV1ZIaLzZsKpMBZlwGCAWmVMDj0wVf8psCnJeV44HVaBPNJonK+qEf7KO3
gCIj1qp18RDAw3QYtNyv2n7ChYBc5Cb2wAIuZLog3XIjZnYpnD3mzTKDAnUV11ofItt+QsMjg8rB
RjwpWgXJuhRp3/QHoXk8RJOaCwy7KHEN0GlWOQ63a0R3ft7Y9RDIBRwBuKjU+AREkaIBTmaLrrrV
7sosPIXA7wxRBrXFqGIukho2DTB+gzEzwBCKsgx6Jqy2CL0sZnmLJwnfM5NjRb+aqT83RXtmY3SE
jyZvyxDf1zXYHeavHLNLD0WOovYGDcNnK61UVTZsZA9Ef1Nxvwe2F7ZpZL2c6ASNBycFyzdTA3uw
/lCjTFVBNiuO8Gc6QWM29XYZxRVdMgRM33rIV3pqs3IfNOt2lGbrPE45mi6lX2Pfr3FGgmOxkn0z
50BnAvz1Ld2IZho2zRiwbS8B+zMBqIi3F47WeseWtUtLBDga5kWUZFFo48mjT/lYvSeAk/aO1/PJ
ib7fuKAYFSBTlpix57vJF+8DOklA1uOgoOYeSccfFisQ5C1bVNYa+KxEdlDO/CNezOdZo48aAY8C
QTi0/g6PIm6X8VwU7AGG17PX63soRHdTBpN+F0ESsWhRbdSd1sgum9pzyLoeNblCAV23LIo+wnfe
X2bZtLFj6My9GxNYtkJNQznem9p/mdp8ax0oh0oftzCaqFoMd27BuzAL9jCeasUNEGjTelz0eqZ4
mfYyaEaYyTGOAwvgC0mo+cTGIVg2EvlpXnAfrzT46lDlk7GrYLvqLwtZ3c54vcSL+GSm4lwBKwrH
tFceAV+3wMoP1a1WuJtXpYNgA9v7I3Ru+AyoHD8SXV7Ntf6iF7edo3CjgRjoK/tetMFHMXT7xTkg
GxnQgHyXde3JN9k+c9GmxMCqWDLudEM2MPIDD9ubDULoZqwgfC3qbqOqvzblcJHr9dK74mgsv6o6
dsFDlxZr896s8o6PHeTXAlSumMWD9PhqshLwYAfaVJdQGja18+c5iL5MDdnVMKyHCzBowQo0U5/H
POdUjYJ8Mmt9FNnYxd5XiQ26u0BEd6vr1o2H/9UkXgHwb/MMPjgSQgfAZwW3ozXnNWvSvOPnrBqB
DumDc0X6veUc6B/C9zLCH/msd74ON7leDiWe1hi20zyetflaGv7ZLGGyuClt+u5kC/MOQZGtQ743
zsG0PqZjhYa4pPqS2ep9JMqHVnQbMebvFw4rcBiMVbHY24bOdzYS75kAWl4GBRS551lbQ8Ge1nNm
9BaG8F5x6sskYgWPexR+IaLKQfOBAmNYv4sGlnbhksooSpfGxyQiJ2BLbpqsvqCzKWFLNSedMReT
7WAtjHDz6zJkmkMoyfORmIipysPWYoCxLKl7k+rKXEUdrNj48GDD4Qh5CYQutvmdzMOz7WZ00dgs
PPYwKQbcNTGP5lO5hoAAqxZIXixPtApvWppfVo6UqkPT0Tq0Nb44c2I+C9u/Y1l9gLllLxq+7+BD
MEWqtntfs2AT8mKTc3Zew/zOo+mLCDBNe21XNbdsM80MPs4TAZSScR4OvtB2Ww/k7GtxqxF+mPP/
S9mZLUmKY1v7hQ7HhIRA3PwXDD6Fe8xTxg0WkQNilhgE6On/5VV9Tmd654m0ummrqrQqHBDS3mt9
a/dwr1cYca7DvXiR/dGDrFkYu/fG/hFQc9J0+K9Av4/7NZ+jwq9up9x9ypXxYqcdy4d5GSsIjFzg
REJx1qrebCsPRs/StEdQKXXsQ04t2u7gzn40WHfZZta2Eez5ZiNYeaWVg02779IZTzXpSg/d/ixR
D5g834aLW6LApgNardqNwtbbTnp41wvHT+7RpqL3zyJReW92UiiOoLt86w2lUSfpa1DNu4x5eVS2
Qx03Qf40VM1mtegPB/NsZGiSrM9Pag6ulC43XmCheazBbl7WKZ6Hxo/GTD/25QS5jRUxK9srCIe3
voIt0OXtox1cElca+njv8ywJRvKEunTdFB06sJV0e3ReD0EePnUhO83LcJ1ja4iGqVUnrafl1m/z
6ynQXz13jfEaAXYwdue1w1vZoULT5AftpzvaEhcw2jjEtSgNzC6Lenn53lsvTx1B8N+j5rHs2SsJ
lruyoM/Z7CS+Ll7giA5xJ8Yi4nZ+rIPqrQ/wlWaTEzfcvJBco/if5hj1nBPVXVhEpWyO7pI/+FP9
LKdepIs7oDZGOePhkGvUmpamuRqsc8ib5ibXLCoXc2dZj7+YZ5W07pzDzOq+sBxAl49XWmi206NN
M76gYZY6zg09eyEqbQKZors6yMnehcTFJ1lcCdREcbPUh5W6HyZboY0T8QKrMTGmei5CjX1FpTNa
jjmDnzSL+xUn2550XpCGpt4KWt5CC8fjqnkQSbhIadDA3PPd+SmoKASk8E545qa2wXXVVKdAkaPJ
5Y+xn/xocseUSChQPOyapOhgGg7yEeXkbbA61/XUn/oifwpmsc2r8k7mJM2wxPyW70ti4IuGK0yW
NojKQsCiEj4E5HzvNRl0aLVvC/Yih/KjhXTplsu+bPSNlNWLWqsURcmBd2W2c9m8bTp6FH67LVR/
u2byoGfzQcLgdfXQZpfz1pHOiVtzpavw1bfdK0reI0rfF7H2Vx5zktHL7gsitg222MbwR1Ohy8tE
0rnkuRgtyjq1N24WTaCJYtz/66xIWjPHoqiCdjQFy3at5A0XjRNr7ENj16W122z7ClJFQTeAmLcV
7YJopPqgPH1jO3HHq/ytlCLAKpqedDfdLt1DOLwrxl4Cp7pdtPjiQaKQwbyb0ftlHe/TOgOLoIMP
TlBEpHz4arBUWNdsJ1YfMl9+Iazae0VwVToGTmSzJb7fRDU+Kj3XD0PPnwUsYaMpwNBCP7LWvZsN
tGC9fGt4c3YG2yu/yQ62g2wr7Q9j3R3Hl3ruWUq33oNjOYSZgZ3qnWo/f3Fnlfo1xGtm53jpnecs
G+9R1+Vx2wwpGIIMmnwThetwFYbwOC1o3Xhw3FMfytt6USGe3WEONLoqU+7wAQOwMDdUWdBy00b3
LJ7D7NZO5E023Qu+aYP+wH5fRcBS6uWnRZRfFwu9q6qbPBlQgYdF+a1Qckd69sOG6oZDimeVutJt
UMMVDNYIiNPeYWUZ+QBi8Gde3Gj3ESYICLHd4OLA7rEjVXyGXR4e1OC+oaCFvdT3j2aY9nzKrucs
cKOVh9d+tXwsZbsrRbicuScIF9jTonbgzS6ATQM079g70Zi316CyZQyKFh9efcO9+U127KEZ2VM+
4wGj4x1wuDpn5g2CW6ufjWjudFc9OA2L/Hp6C3y+Xbr+1rJxP6j6WhT6yundV1uF3yAtEBR/TQjB
bHxg/A6W3k1T19deOG9LLq/oVB0Vq3fGKTZDruqoxkpdqZeugr+vK4cO3USihPPzvjr6RfawK+ru
itruphf8dUX1AkXhBK9LgL2DKEN8GbkaCJFb+35Miuw0V7WIoZm+QC9IyrL7EAP73g5yuwTY1oPh
DjbAl1zXT3VQfwHAk0xtlZqKRJlP4oBlqdeE8eqb2IcmFrXgUiL4RCxCYXurhLsfRsh9muzLYr7n
0n9mMkxt0F5PSkRNENQpPrI7PbZ43YDwjKQfnYFwuBbpFPYbS1eoHeNX4IYpyautyuEGUT2cGj28
8nl9I+0c89Z9kOfnr1GCVYHbRkXdQwg3w8uizWYdxrivIS/3cCjCBZR4XWX3QjtBkjntY79UT8zp
wr1mZK+moI7H4rQM5XvZo2Wb4KzOo7zqRqZ2ZCFdPLrtN1PZdB1FDBztmI/9Ds7v1eQhAz1WUFBq
MPSLPWg9QvIIvbuqaONSkFR02Y1w4O6GdB+O3o5pnZRn6yDosOdPVwZucDNPz2FX3q8FwY4jH0yt
ik3p+9vedR4yFzWHgSqMPfxHR3lCOgeNR1hu/SB/6wDFsomoiEz6WXu8jZSfg8fBI0BXcKyytcU2
or7OzWMvq7uadl6UkSVhNAiO/UDxxKpaJaOvq6Qg497AXionfsXRLdQzHaMcrQDTNdwdP3bE8s3O
Bz+8Q8O/mUqUAXUyUTRT1Qrwod+ZrqsjUSe2znZez69mVmzGheWx7t5oblPH+h+9rsNUdWGZWrIm
RRNsfFbHTKQ0JB+KO/j1GayLKf/m8HvK8uc+72NTPOBWXuX5bPVJt13grBiTXU0ZeQ9a56mx7onU
4672+0dhkWEh4ISday3kHmwWLAULxmey0Wjei4BChBnfanL2sXgXFbBOwg41ry7lkXTVviXLI36T
H8GK3KqZ7MYsSEz3saz8SWGjjkYJaqS/qpofZ61NTfm9Zuh9emzfjBzDoouEXx66vkps6HzIXp6W
dtxqKBdlw9p4hkLo6AUWq36Tw/hWMmdOKYUn5Tv6e5+hQeWwLnjVPXvU/THrKhqxgUcuXK4K74es
5quVZ1wKGnLdelFQ8Ucm0RmGcOerot665Zx6usUrEm20TuthMS9rW+zs4N92AHkTQBlJJ8PICO84
9e1pzGTKoSkWBK6vZ7+TIYwbZy2OEHQeXV7vVbCmU1bFbVUPkQrIvdfMaFmnWiYUykg2onBrcCQs
IbkuqmqOhgCiDnFPFOGPKJ/ZsST2TS7u1dotkBVwkEnbQ8MqXofwWqHRxWEjuL3uinJLlsWJ1DwC
A/BULBdsLzyEW8JCwBaMjTcgARzwrHIf6oAlvAt5VHpo6Jt8/cEb9dy67MHj0xyNthcRfO6nylBs
9bS6DVhx8G1/O/Ah5rN/nEHNRI7ubme1fJuqamdWhifsfiPttHHUjO3OnhbXLNHUDQ+ynV7LyV5b
z776fJdPxMSkEsc5KKCkyw8lIZg67ttU5FfAbPbljPMmPEveZM2jthyS2U5H3rfPSuoI9GcZF7U8
ct3tufUOvEAlP+g9GaatrGQUhPIpgwlbQ0bOBjRtnioi7bjfRQ/2jaXzDD6OVqgx3aKPrQevY+iz
aBB5rAoHbREKsMzo52JasQ6U3Sx6HWLK6igrKPx+BgMMv5hVInaMvzPuDDUcJ7QSa56WUtsNqt6o
od47LTLw2mrN4l7DAcyD8GbOYWRzb71qKnY1181+mMtktd7OLsNTs8osCiagLc6wy2ezm0FyUFJE
NV3BjwG+P6zGg2Ir8WQHU9y6pO0TBu/B8cjTxErgH+szWrbYJ96uliapBexKMvrPweSgMAhwcArS
Rnlmv4+Oh83bbgMAxl0w3GZqNCAwLAw0mP98meJssWnV1fhEugVmFQAWjnIttxrAosY1TP64OsMd
QfNV1+Lkjs4zxCI36puxSXTYvBbZsJ3kusBZbFJCR5BUajx5XWCiJWuu9drt5hV7gIHbOZrlg2v9
yiiQhaX61lAoOHP/RZwZ/IXyp7bycQ76+I/kKr/ux2LeDD00RyvHO6d1b7wzMQet0x9MHa0g41Nh
6423djjZ+ZjC0fs2WxwVPWwUGkwfuWyvyOj+gPP9YiTb9mG1xycEVQPOJi8FYDF34w9qjIBA7KwF
NMDnPKU5oBqZU3+vVlTxajUbmVfvYDHgFvrzGhe2Q5nOblbrY01aUBxB3uxqdA37Olh/LCX9OinA
cGFk+S1Zvi3TEAuQ/1OFThl+f3bD+Vd3TCx5JWIDfiES7nvvSHwyILpgWq1DktMv2cRwTL+4vRf1
zndgdUkBN2M4LAWkfaISwN8xJ23smWMGIyJj27UzqSxJMgK6XDdBlcViTf0VMmaQGmwgClSChWR9
5+FohueMggi0Eri5IkuqGRsnY6cajJj5yPOPqnq30OoLSBoLXeIeTQwtSBp6D1bdB2anaQcPp4eg
sJnoE3rLvPgimIXfDPx7TpviZUK6gITFzay27UxAjMp9WYqEK3NtVAtV97Gz2Em/DMIHF7AZRcoc
ltB110AlWCfo08ccIgwwFkijH8E8X+v5mygezQwun8Xt1Cck21us2HF8s8Eal2Ud25JdT6h/vPAu
DxxsFfp5nHC0uQ2s3wXOZXnFq481aLD7fq9K9z2bv2UAvK3c9XOb2PywrmO0Ou5mKbFm37LxOgPK
LP0lbpDWCMP+o/J0RAaHR2gvYrschcP2TqbvcFp8GZwSrwFQ5QKnnHhq13EnyhYgklOB8tT4K/g2
eF30GsICEg7+nUeXfdj5u5WhfqE6PGTgER2LhoUWaI+KZ3xjsSn9AmuySLwGDIUmSdD1x9Ird6zB
AkBpv6oJBihOKjCSQy3SdhD3zVJsWvOgDLQKS9PGVslaCTeaSXmbA8pdXbntnQ4iTx1NfniTEYOt
kR0GFG3QaPZ9kEV9bh44DrgVYB+QjZSIDGhSsy/xhQtaHcsGy0MyHMJwf9Az7kOQ5U1Gn0RlsaX4
6lr5AodBb3zwCfQL5yhqC4Z2bS0SzOfxIuALCUWXXy8NiNe2iHoXrGo2jgAmDdTSmQWJRDlNRbH5
r64rLPDVYtnxvHmvin7rt97Tf6EGbLMVCtMOOaUHLqrD6BZ/yG38J1Huh6GHNDB8GjTel9EREpJG
mUKuuw5g9LrT1R+wef83wP7PsYPzn/8U2Cgm2pd+iExA+yXw4vGjXNL8Dzmr/7yFQFBEHBmu4wtP
XASgmOzAZpaB3eHl5ajwnL9v4V/J8tu/4wV/h5+/dmqF7CH/NRzpf//2/53+Z+LSX6Np/v3Pf/3b
f89EOafA/3eMzUXK/O/xS/9HBP3TP/wln/7150FE/5P2P6ezKXD9/zuO/nOa/9+Z9vO/83fuPKT/
zUNE3AOw/y5Saz7+5N+5c4rggw/zHW2Pz/Euf8qdIzCA6QRIwyM56SJQM/wrd+7+t+txhrw8xcJ3
fUL/Se78cjlhsSIx5iNZhRiEh2zrr8upyenqSydEcQs7YTMsa7nNJQuAmbcg6iAZbH56Nv969T/n
3C+DQFCEGQFyhOkkiEmI8OJ6LXOrwbRtvlszsBueO2SPnpHNfrWmPMG7gFpVw4j9/KKXIafzRV3i
n0OoAtCfizfw8zeDBPI8mc7Ld6PmzhEQmEzc1sfGgb/8w/1d5mlwKUh+jFNMDfgr7/TrpVrTr1Yh
RrHDwVQeQ+s5iQRwjK6xqjY9RKWoGIMBrSn+SgoyP31+pxeXF7hJQSgnBK6EG+KN/np5Xnl2rrno
d9UIswllJc7Lzjq3VMLCh/nUo4gYJcjtQuiPlolh+/n13YtHjR9AGZgqBPUQisL/XuTJqtlAQPZd
vcum80uuFpz5g1O8VaZoErkWFuGiXnpXiuokr/W01U3LUREv1EedMQ7uA/iTZYso6fw6r6zOk89/
4MV6/+v3UXw4mBvAMbqIXPy+ouOYnVYTvUNzO0Ebak0y8MXfidosKcQr5/bz67kXUcLzBQVHhpAH
MIyIxy8WvNOPAkT6NOwci8tGnjvBQcad+SIlWefdy06X9yWa3YrILG0ERfKpmoL1uHRVNf7hcKIX
n5/gmHhyzhMi2chc17v8/JoJBYGDTnRn6ICCUvU5ml4DdvygEUVcItbL8gh+qXstJvXNxyyL7TD7
Nh3q1QO8mwl5z2xG3ryO9gUA2LO60LLCe84BNOx7cOYqylUABngZXdFFs8AHhzkHxRFCn7NvpJjr
mObI72amy06B25C3zx/4X4nFnxJtf90iJgNgWsNf36GPwS0/f+xqHF3M4CiaHVczqhjb6oElGAe4
PIF3Q+MRqOW5CzUMw3Vyw2tSA6PS0FThRXnwvjIO0KbJhg/jcufWIu3/UHOosku4ovgyZf1QVq76
IjqO2NQwld8YYCTwhCMmPVgnBHvWjqhiNTXs2RsGgoRBa4cTxF6TIsFQP3x+uxdn9d93G2AOFyZU
uCQQF3cL8j2rgNWgL5msF/mA1kC08H+d2H/P0fvNrn351WDZuAQfC3XZeRSKfxHVE7wKkOno6l1Q
9fmrg1CQysZhb3rLv4uKLP9svz7flEu4cM8bGeJ59CJ+GyBrDHkDl2NNl5+qrjjghy1gYJE8+Pzx
/eZ7wMFwPmKxZHwEOn9dLM1C2xx4QA0KIs9PddguT6VP6gfr6OEwsaJ+aFxZ3H9+0ctN+nx7qATO
CfYQW9Bl5pIhbQG1rW12ozfmH2M5w2kOKo0vseQdEtiB9NnzGi7qSzXW+Ih67vzphV5u0+efwPEj
MArGC32cFL/etzP7QWkIwg99B86j4BDuYviOxRpT3mR/iFP/9mIYc+WF2HQw5ufiUKKNX/lUCrVb
ixyTJhwcullQt1dh7unHzx/t796nL3zMU6AuxwyNi0u1sAoG3VCFk77PTi49I7lg+g8O1eLgsQoG
LYNU8/lFf/c+0UVjvgW4WNzmxUW1qGoLMUztCg2nj3lZcS/1ynS8BHV2Ku2Kd1jMdIEa0aNSjuoc
p87nP+F3940kK0eQNsB4I+9iG7CDyIwRXO08SXw4Sr6/n8eMpF0x3DW5A1yvpvWfzrbfvVcMD8FU
HGRDwQFeHG2CASXQAxZRXnrhdeYYnGwB1Q0UCD8r/1BYnR/ixbaOUUuI0OIY9QNUq7+uWIVKUVSz
QAwMZ9Z10fRPZvjjaf2bi2BUGyNuILCCBL2oDpqQ9dw2Essnx1iDyAV5AJw0h1D0+ev6zZOjBN8f
ReeKu7p8cvVgjaOcWe0WX3vPVTEMkIUVQYivYq36w9o4v/uLJ4ckPCoQD0NgUZpd3FTfzZVZFlgu
qFQojN+woEiT4mS3PuQm6WjnNps6U8TIzL1/fp+/e54e4yE/32zgXgbYnRL70IiBJru6ApTWG+/D
Kecl/fwivzmccFAInBihT2l4uTIMKzHtt8r7HTzP+sErcAFogsG2QzMTyXocv35+Pfc3D5QxvDvM
OsEWTujFx9ZxAuI2bDqExhHOh7AWnGXFoMOn7Y2daYBIVfbWDfIWikQJFiTrRHFcaY+IiJGFKPcd
9q5TmxXDB+Dx6QMblkE7MGdsMxe+cwStq758/qN/s+IYfi4NMFkIY2b4eQP5STaws6cr2jrtbmEt
orqszU7rPPi7lmfOPxspcD69mYfJQpieFzL+H3tRJ1dd21V1u2ycJYIyflkeG2ZFajyNjOLornvK
RqRK+NTx4yya/J+fN5hwRqHCYMYRFt1FuzcRGyCCPra7xssn2Dy4Q3dV4c1UdOH154/1d0vBx0cs
sPMH56L618eK/tg/1yrNDiAHJNcWuusAf6SIBLHsOUfAvUwEWNWDo/947Pxmz2c+D7Hpu2ed6fIM
Dx2ig4UEzU478Oczi6LBYjrJIR9nWN+VRsi6CPM/FS+/+dpwxoWejy8a5/llA2U9ULZrnTU7Z2y9
Z1iXzq2wi34Eew2swW/+dLKdhZPL7Yuhk2UYgoFZbygHf33EOffdprZ+tysZa3yAvgZMJGKs8gcO
geAJB2LoRFMYzk9Wiew2bOcQEGwBSxwJkFL/UJ5bP8wlRRfQt2uwddTIRLLO8oN7BWr/io9QifHd
ymgUOmQpkxojtzQdHrGzqJfPF8xvvkOPYLfi5wIF+s3F3sF8MoxeS7odVY4Dq6j2WRLozHkZS9fc
/ONrnQsCrEyKd4Xe89cnF1ABJ4pWKG59Jz9HNu3GIkm4Dc9axD+/FCKVOJdFgEtefgcrAY6w0rXe
/aV4DEDNYpIJ55z2L3efX+osfV0sCA+tHWQGVDo+RsxdPMKmyJ2ZLBkOlSVHRz36wKKgvKmt29fk
rR2p5Qns887ejEDRoVmvwv9GZAUqCFHJCpicdw7RGnscA+SCPQt/MsUrAW/cOd3H57+WnougX09f
zLs5V9qQ63DY+xcvAQT1wIGc6R0c3/xKzUy9AwtxjmrA2L/zSL/8A0m//nHkOp+jykVupOuphSsh
9U0JiA9hYzLe9R38LjBxxX1XTwbBwnE4+IURd7Noly0p5gkhGL+5mjH15g/FChquX7c56AXYyyk4
FE5CivGZl/1fOfSmqmitdkMHT5HO/fQlw9T1JiKqVQ1CkTpDDHjwm48ZdTAeeZUjH4to5WxiKHug
dfQiBCxqxc4ArVo8OEUilCKWwvGepSgcmJke7cK46/yg2RYBU2m3Wuyci1cvgFBUzbLN6JWO2JRZ
mZ8Nq6p/l55QRVoRZcsIjRtATPjv54Bkd1VVTnBHKtkeNGaynFZvyU656bWMASXTmzLHth0Dc9c2
7i169q2ex+6Dy7p0ki7zkXFG+iISK/DQyZbBIQur4Mn1RpgfE5wd63Ug2/Wyy6g7pIt2MQYwc7r6
ocBUrG9CZQxLs6zN92Cw97ZqfxAXcyaGNbApfPyoWKtwikGbULTSk30nQMr2vCQeAlpdcF1Tx+L+
jXrktv8WZkFxYiokOwgKAxwqqI9PknFAFqyWGPaIqV4nLRyYNbVrxT7D/JabXOp6R50Vr2NuM+dR
d2vxulJN+ZnM8HeSL84PTgeVCpA14CKqYh2PvKjDR1CZ2U1bDzXWq9d2KRW9ULEaFd+MakDKyUEs
PCkB1DZRFpjx1NWoKqE+ZOY91KwiG2O4BMU+v4Fu5h9YCPC6Rt6sX/rFg59VamcC+zlU2yljEtAL
+Ni0nYfyHsd2PUKUMV+wdzZf3WVc9tDY2LHGBMyzqzyBRpvGk9+GWY6xS5XCO5rle+NlD4AmnsOm
bmbMkLGht8GYOoRBSsddboYZaY5yqRECsKudEEZBooMldVEjh0rIEC9rAX/JUi8WHeluHd0ORyTj
+xcAzYgA91lxEGPWAadryaZtPHFawwbwSIvRhJgF4fR7O4QV8tggTeRsXgPlV5HfOPJQMv6t7A3f
ZGB5do0Pcx6nw4O3dO/BODa7FifBAwKo/SMvAwbnFVXiRLuFAeptzHUzEa9CKobJFDYgEmi9phhz
mQ93klXIo2GIzAFSHt3n2i+fXMd1UotS80jApPhN+WgzUPxTMY8H6LUY8eI7c520JbWR79o57RBq
TYshszLuqgVReJhLhdz0U7luMlf7USVKkUe5hJyNIR6Ya5GOBPEEZMXPwWCxkhH2cQh8GofYFs6/
+AAjX6HW8uBZt3A+qyUDZt9KN1ZWNEll6xyBq7M3ieTSSUoQKZEtkHDN/dDdW+uuGFOhibjC0Dwn
bgtvApbGxZuZS2zWrZiSVk2wyrHG3X3Tl8oBD8OcZ7HK02gz+9Ivq9ouS+F+L7Rsf2Q5z58c4ncf
Vt9lTkBxzmPn3LrhlG8y5ZU3i83UMWgxgzKumrEIYnT6Xcx9jb8PABLwGXFVUczqGuOAQVn18BVb
mS8HhGfJ/eDV+dvkOjQ19dzuVwWOzTN+EIU9xzE4K9fc69HQ7/7UkLiE+poMZBk3HEOcBsKgkjut
hhmBMUmYDWAkWa+qwIPNviLhmFRdp6bYVzp4Arc9vXgV6sy89blJ+crbZoO20eyWka5fRbC0A4xm
VDPVTDQSecr4ddSUUx5pTKC5Wfk5zcUbb7lrs9C+TAUF89ouNMGAP6NuC9Y62Lv14ny45VqAAaMS
QUTTALeR4mohFcYb9VhriWfg2rYs62FezzOD8dxW41a2RZlmC0Y/eihmDjzMhkeHS94j+cYZxyKm
6pa3TALIlMadogpDMJC1Gis3dQcQjuAqtCk2qIfC49KEzYZMdkqKXLFHrsIM3RNzqj1eHtWbblIG
pHXTfPPRpD8YNCUfQ/sD6UJYDNarAcAjxBwAEK7m44gNMglLj98NDJvvgpw6ACpM9atrEjxotwmv
xnESADR8TG/hs8FmLpnO3n0zhDejKtvD3Bl9GJWHaFfAyfTqz81ycpvRx4wlecX7vN41S0liwFPV
hsGcjtcwmGNX93qLz3baBA4FMm493CunU7LUxtm4je/t9TqeTxDUEG+z72OWAbhq/6EYprB6rZ2y
3FQYYrVzvblJsfAVhuaM63fuqOnkLLW3X+tVfeE+wGw4GuUdVbzfIgKjHmrKwVcEmBkJONw+q7ms
U3Cs25HS+m4KvOcBedqIODOwpXlZEKChCNqD7c0Qk8JgJNxpBlnpCyafeqdJ8PzQsAkIRl7NZxBn
lXsOu3+OFDRcpABA614pry8e26bFZKp+cKpjY7z5BsmevjtMIzz9FP8CT2i+AA5aZJ3fWQ9BNga8
Pm2cDicb/s9cSvwkXjwiNkc2Wc6Wx75zxDaTAjO2OEykgKprBJFdJMlVDqW7LUbxYANEdhKImueo
gq/EowyW5q4bM4WRJ9SRxXYeXVSnQ8C+S9LnG69mA0naVRd3GI8nkxpAPGYpyQ7zK9dQ7Tn4wQRP
vz56xNmtsBs+ME03BHVoSih4HjeYuobAbCJNXx/NaodvMtNSxlbx3Ca1pxU8kBntWYJ5zzRdQkwd
a/K6/YEQtgvaQfInA1QIkSvX5IiCFcDKCkVrbKadmZJh8jGkuWv96Q6DnZA+F4AmaJMjtdMV9GoN
RQC41JfXamXnpQ1Es29wm87QoT1alO8CEwOIm3nsfUAfEAunbmNQWhlOW0aqZPYRwFs1b+4Jpmun
HpcKfiyyiVfYsL5LwILIN6zB1dCCm+xKg2TqkmPBI3SoOsfsxzEMI09oc8wLmA6sZPWNHoM8hVCz
xmLpykR57KM0c/9Cer5EpZ3c12IA+A0g9NlVLgJgFUZtQT0lyCOSgO2LBWz52jUAJduw3CG/INPc
zGOStdzZFfMaAirBqJsMJQIFvddgQwj9OMfuFxmOc9+BcxOv2PYfYKM1W3BH8mTHEjOdQOa2G41R
Qph2INk9q2Z77ah1xv4VgpScgvC+V9nw0MOPG+OKYgpx1xBYqGQVe6z97kUyDHwe5z57XkroGA7g
QQTSOqTQmvMjGgJQvJxiYkNQ+D2QeCBirHrF6YddvKW5++hhIBbK/tXHgUYIGhM3b4tTPvh7jJfJ
MTfGvguJqQpsGMWGDhXZuS3mIWazxvAVpyf9PQqcH77TdG/GYjKCwSSUKVv6L0Effgzgz+I1wB74
/3k7rx65kW1L/yIOaIPka5Jpq7K8U70QUqkVNEET9OSvv1/qzsxpVfdIuC8DHAgHaJmsZDBix95r
fcti/50KPDFla70nplffOewL2wrW1INf9C/GlCS73Daye6w1Kts0FNN7qUsEjcCOIgvtWjy0TCEH
m4t1G/bl2RQdtmEBLy3RJW47jO3w6VSIMm6Kyi5vj66fZeAjEQtxwBaIzBZrV+pVvraBIY8Apx5c
p3xSS9rEY9c3p7Uylmh2k+o6dEqgBNbYxzpxvw1ZcantZrENbX6h2NxWZZNhDxPilFI8xlYrEkwI
KwzFNQ22Rt6hYmsntZkFqvoqm7utXVaXQrM9Lzmi3KrtX0JIO5vC8YYT+hwM+KaVBJFlXRBrlshC
c+cnSYxdXTzny0VV1hiomTe+1bi8blYYdYUMt9VgiHOuerwNaw1esbx46zOn4QAo/XMezOXtnHvN
RwObYe9X8+NQJ2Ae89Xcpai6XodJjnv8dvPWrqcnOAo2Q57Ge1FZVpxbKadtV0zFWRphGCMkzlx8
kspszKOtJhNuWz/u0xo/uqUlUrYyAF5jNN1pLaXzMWWOuesF6BU8MxRnQzA/u+4ScssyGnw8bnpi
yDtsq9R5z5Q3xjPO463qJ1a4lbS0BOpDW+ZrlHsZp6KlZqokI6tuwgmwRdGCZrEn7WJjdPyjlaoP
q8v6F9xvSPJNbzwlbU+7PLdgsw2e/DYtHqYTDYpC207x0olhQLko6vswE9mbPaK70161H8rAueqn
pItRirQb2wvHkzFaVXjIKnoJ9U9SQeN0PDu1FpsyHasfQJSzGMN9x4ayTwfGKxn0TrtNb0KBf8yV
HLqmkRhbIx30qYVCs0nHZNz5Vo1X0TBUlDYGVE0QZZsQsxZqJ8bUDKuRaIA80DgfQC95W0Bjm7wI
bIrPeYmNRbW7csLU7nRh8zAXSh6ajL1wKiHMNkzHo9Bn7xHcYeJclfUZv8zMxTTo4UBkRbWzeo1K
DYHBzmilAxmNwj7bTHkxnhelsztfjOKKHk27W4Szsk7FqfWXoIJkNdW3VuZZtxUVIOy9ZjwGcLei
pedG3GkJwJI704Z/YAIAEICSySrg5cEMuwdCUzSbjcWmok3waOu1qrNv5mKKG6Xd8b5c85uxosAf
jfW7q3voTPjewEdjnZ9s+0edAjEYdLXcr76ndraZijcngx2m6nqFtTAPXrYxxfCcjHZ1ren9xqlX
3fTj+M4srNm4nflaYWC7NYaL2SG1jQ1Erj7qTDkdlAW40kUNfN+MYDsVw58NQtyvrmqcaQPTYzhZ
o51xMYf3Y9pZyts+F9vUTcIX0A35VuXZB+6l9Vp39CujOl996FJ0X92xX/YgKMrvI7XVrkfVcLTs
Jr+b8rqObZs91zcpVjZty3wg0qV2392LQ2cqlbFNLLt8NrouuQo6EeyKRGDdWyxBdx86jT3L5RbJ
yLdANiBu1gyqdpv63wrd4IEdcusQAsWEX8iVtypFE1tDHYLQK3MHd6zyOT7y9d0feFpW068bjO7y
uQ7Da7Ak8yHwp3o/dXN/g2K7ei6rvuJAqRNIkU5xgk+RbTuxAEJQtngSY4KKdEJu6qZiX4dj+xXn
BzbFdr6plZ4x4LK4vSFs7oUsvQ/Asi+2O1XXY+U3UbbArVqDOTuFZSJ2ud/5cQFacNrNohuu2wTF
/lL0UzSU3B+jSc0BvjIEq1dOsiC+xhi5mkwWh9KQW8xRWMOXsTyZCX3VzVg18653UntnlvMa52V+
qK0KWFFAH8s2nHAjh86NVD4U+KLd9cdMRXpt4DaDXJWcjczB3SXAGzJaRRaDHC7uLL/+7iSyjhyN
LF6sF7ZzGnglDo4puCMMZEbRw+746mfztPfc5jQUqb7p5WRfjWp+D4v2rzTL/Z3fWgjOvXbZmWto
7sNpKvF41MLdqEaMfxnIq6rIkPX4nIdL+oqvtv3u6R95iyQXz4sJLBm5vV2R4eHbawkqVGex7Yjh
1I6Teyr0PN5hw+IImQTkbjsJu0OSW0G6Eb0Ue7MEizpf7vIgbAGOJCJ5kBObVyJXBaGmyh85XefI
bqokziUWw6QpwPw5vosRq+55kwpjhQDG9JWCsS6a96SEtTPoPqETBdQPWknK12otJ2DE31p8MKcW
e+G+UFq/0Jn2b5dqDktYEeY1KG2Jj0PlEYKFGshOpoH1DWsLz50wEkzVlNEG56jX1PMGDHMxboWu
GS7jXnBVZGEilHwg3cBGsheU64rRcxfX07ppuYI81RNw45pO9dEvirvUw9BIdp/cpSskMXcpVJQX
q96ZKHyPaIYQEOugeVnxw8xAdDUEUy54KNFtJZed6NsCA4w1WMvGyFNrO2TZAz0rJgIFLaZmoRyE
etdQRs8idsRqRdKs1I5/ZrpJwJTi7smGmzlRZmSnq7tVpR9ZKLEiPFxnf8i+gq8Y6CJm2BHomO2s
EJIYCn5wMibtCR0O+LLC5KAm966dakjDbUv5mULNMkcXx7Q52yCEh8zY1lOC8Rb8TlSCNNrWptA/
Jga8X2uOx3t8q0sUUn1FNS7OvSWkcx7oXr9Vwi/YFqi0sQSWdv5XIwENAWx7D5um3E7gGzcDytGj
ZRYKdLN1BXfhFSV3dfRLSE2ZHp5rC+aRch2ssWXXxTiB1m0ZBv2XUQwi2C/J1G8b12X/7SrX209+
4j2q2Sti5QwaR7Iazujai1OTYFdPbTd9d2i6guJrU8id3dicbZV08Gm67AeK6+wGDXaw56Y1xoKK
7zSwSq+oDGrSefzw0LnSiNpeuKeyXE1qWMygtBTCrz7JOFdtKrqzN87+XRhKBjZTyCqsA+pwhN7N
TnS8slyn7J1Uc3+/Jpm4mxenwPBBR8eT7XCpxbyrDtonRVvhDF8B9LX1pg9nNwAzUNqPZu+AVsVF
JIgkwmwATzJrwWjPHBjtwm2GuuGUDLI7c1j7EfJ1/0r3Ar9QZRn+AcRKeawMkkY3/k+fogcGevXT
+iJwN49BLS3cNqbYFWsBdSYxccfDsFu5IjOKfm8TFIZ51vQ7ywznbeZDukV8Cj2yrvz8laym9hH/
hr6RcI84CPNpldHMTlYD4DRasQlhEUEWyquMIM6Fv7sVIy7gJZDzWTAFi51VzR99mhu8PKmCiWxh
ZEjqdbpdDaO9r5PCvlJJ1TzlliyoJqqFu+BYQHhLBfgwgdY/knk/FLG/wpTerIVlfZ/whF7nciq/
mSX4zwhzQ343LvCZcW80mbgue1ywm0DX+XUX9KhcCj0EaezPmf3qZqP+0RHa0EMIGqsrO8d1tZlz
PwBaWNnJXTVlA0cvN+5rc0AdeG79Cu+1NXnioLXpf18yFLQr++IPudQyuKIOE3jgXc7V2bBS2OKh
hWfBAyN/1eCzp1PUGfrJkKn7AksGB2zVNHQLE5kH7GHMSCe2qvehM8d4LUc+7pAbePQG9F4FcvgX
FRb6h+u65jsP2YebkIXtdrINdzOkeQNd2Q0kOCfRQ/npHIM5PeLCYNdxpaN/X9iHJHXsxwbo982S
mk7JyZjhHJO4Rs9pVzKrmswe/jfOXMB56XCRBYdyfiZvBMGkrkt0uu7Pz+UkoKa6JjfzHQWm/tIt
sxdusmLk16Znx5uqmZ+E1N9bh/n22RvwMdPHTxN8dP78XCe2MvdTuYQnLLmrxgk+FBp6jG86GwRR
WfeYNxNCocSEoeHDGP+RjWPaPY55U1g7t8xh0OZGBUkKBPOjY1YSwGOQpFnUjwEERrNo2yxaywsA
JoHBiY6ctz4ZcgeQXsdQiAMhRTRZLujZwiApr/ypU486yPt9M5Szt+39gS+kW8g6iyw0WZhavMZy
d6xS6IEMzKgsSjzqjwXZXiA8Jd2NKPFX9UhLQ77RhucGHRoNrHtrMt/rjqQs+uf5Lixz9WLOOeDQ
0GPOpIy63yfV0n9009DfWGDCT8LDZ3MVMu6Flzzw1xcdSoH1MrEM+pB1yo0+Oc81CxP+i4sQj5CH
LwKE6TnMc3n20ebuEo2RP0gEY9zKX+Q3y5A5pJgcLc+IJhgmvqDxFOUpF6RtQdNyjBoz7IH0j0v9
6JfNjH2xK5Yy7rOB1SgTjzllF/B/WyfJrgda4y90BLB2tuAe2CxUN3/FramfMEb2H/mY2KDCAlCp
ho0s06sd/URX0+ByB1E4zoICChoK5+m5NZ32VYc0LAqrCl64M4gbmC9AjFQRnutWUB9o1eG98SrA
2X7HfsXYlHo8sS9qIdVI/GYkopytDnqTORvUlT0b6Q3vQV9GM83ZIoKDgobRsRbZxXaTMDwYnMCR
+8GfzLdGFVkQqR6JDh0sVlY75u5LQIe+2iTa4UFoArY2ojUVD7PIm6sxQ57rLCD0HxB5cO7SDC5v
M9StsR6D9ByqUN2FfZWonZXQV90YMy/9yvOmAVpiNkTBsKQnFCrei6NLFkEnmi/K7sV34aT5ddpI
mzbkMrE9mD2qR4yQ+L0UN/OKKVGWL8wYTF4eVV/0WXmzwt3zlBc+pSlEstIPWYFGo3kI1cDkaNe5
A3KPMfdAKlV2gP5jDK3yQI9qejaCLD+YCBxuHQYGj4xHh0hNLFyOheSc+kI9Lp6vn4owSDuI5p3/
ncvOVMb12PNuEOjNriSdFVRQaNRUZj16nj11tCShw03sOlrpI76pZbWps+rG7o44UtIHjiIt4qAt
kvwoliE/tMCv2mvJ+1FGEyOOd/DArG+mVzcVdNr94tVAoRrFrlss8o3pFF+nb9lLBU4KaK1lpljR
TSZG+QVR2z4NKGB+NKas7S2RB2z3onFYwjq/vN99w0XnJrjIvKsFTsxFzOJxya4g1FrFxH7PP8Jf
Gi7Tq3JC2sJTaLePvbNMjKJgSe3yy85ccQDswnWer00vkVFY1c1DlVUzkyMLBB5FPSdQIfjPdJzN
vZ1DcCACseU7QPd71/kgRd4L1aqMK2QqaKLSV790qHhIhMb3+xp2NadqWYoAWEQu1G0K5nyviUY6
mkaDX602zFO/pjwLDjmg0jxgmtx+2zk7b+bXOF0L9vYJQMSt8gR7ZLY67HNeUrOJmBAJX7hSYqzP
Gx170kgfWtb3rZ4LgBLYU7Z96o0HQ1oMy2ZqavzgK1/SYmdlf+WPNRRmv6rotFZGkBinpTQVkYI1
C84ePceNxiXHImwzc42rQlNsm3RJ9ynjmmsGpmsAkK5gJ6kIwsmZmCrkzf2gn+bG4l3EfB/ejg3x
DHwP4pDo0IA1VLY6nlqM+Buv80418wS5cQJkRbbVeE8uq3tfdEYpqctq76viQKFKtnAFN3I652VL
1BSjUI6sXiAyrlxUrxQPOUCJ3DkM+eztcumxVEYmtFETMPmYKiRWGzNdpmcQFoK6seWQ8gIHgZWz
qEcKLSPfUPawePs8ZEaZNgEs/MlXHJhUh/YV1/jhdtFgV6cmdXHodh0y/ny27uhR3Q6WS8FyISZh
COR+bMxIoJvZOA3D1J1oTfDTeKmDlZLWuHGYlaYELP2RPd6ooNtjOPTAKv7UiPyP/HBPdcn/fnW/
/XS0/cca9/+0zCHj/8/v2v9VX2JSu89/1eXT/N/f9f/VV/dLBvHffXXkagkHhR6SmN/Z64hQ+FtQ
+MWQ97c/+L89dtb/Mrn9ogVyXYQq3t88dqS+EimL2h65k2f9/C//x2PnEJNNGGqIdM4HcXbRbf/H
YwdkBt8OUklcavzZ/4nH7qf66W8aIPwSGADx2BHl6OE9ci4aob+JL2ngJ0CDl+IAbOtwCUDYVMXM
1GE1z04lrqB9c+ufaRFW0OeAFTgTnnftDS+1qf8gzvyZqvS3zxLgR7JRr3L2BY7tMfP/9bM4nb/w
4q/NAXuQTywWWSdzmzzUhuDiLV21hXBJ/GEn+mcBjXLnQs3dlSOqB5dh5/fOeU9qLgggfo7WAp8s
TNt21y9DGAvVZXsGZcFmoCG5y4upu+1C9U3b5V/OUPnX4zr55EVM5R6UHSSckvslOTsnQovyPWPl
+kOF/UgHQ+IzLwIwWSnQkjIPN+WadXdBGi430vS7OF/BKXU25DISd1bCGlRPumlVI/Ar569ipsEI
rmXXcpuO/rb27v77e/qNffHntydQuCJmRuwmPpuLcvA7nLWzBk/K7Xyq8g9LkmXRtE1Mf869ynX2
/ff/4uV5fHpezsWohX3UpDXyD8Fg3ZvohIU+zKaGSJ6VJ08TYPP7f+QfkmZWBWvioq7Hp8YZ/Elk
iXjPNXIHlZpRJ1edFvY+8FFsZKa3EJmjI9XxWFNyj9h9JScAT+VEUya/XsDNVVkGRnKQMZ1NnwCB
Dp0OiUXDvPwpyfKz0+LyMW1E82iYeZNN/9PHnKUlEBTg3rMn56atIR+kFIAosJM4sflYYyCykwLB
ZYeT/kNSnvNvT8LG2OldjAEXJ+mvb86MXAboUaEvPI0ZeCWNo7R1jEduM9Y2W+f7FgnKNlh6mmUr
bonvvFeUR0k2X61V414R0+SST5VOX13Livuij+ekm1DKNBOwWXQB2uc3OG1Pxk8Q3k1M8uKqtps9
MLP2na8FfhrdJcjqxavswEAszL/8cZE7y6ndR5GP3itcRz/+w9r4rLf8+aWzB2LHYvyOW+rXn3tY
V+CfWc2Ik37inFWvaVZ+8QuzvMCPvjWEokRwMdXW9Np7ZMfEWvTtdzs1rk3pwH4Csha1Dox/31rN
O/ql7h8+oP1ZYskHvCiD8Vai9WZS9Gl79bhUayvvmoNDgczrYd3aDNajVdUPiV8QmjKTuoyyGHJU
N57GumLyniIgTAkns9zO4T6jH+GVyWhoYSEkXUk8ztrBjkzD4rafL7krbjAjJ5r/sBv7/7Kg8UfA
cEPIiuwyuKy5v50MJfjOzg0TXC12eCT3ErXnKD8SYIvRatKfbi+fGJHFbSkHe7smOAt76ZdRM6yC
ItyWqGNGgPdNIMYY/qSI+bSwMwSDlk6E34zGDuJOIetxpkZ+cZR/nZmggSaEgJGu2vHIPKu6WZ3w
yahaDR+ufExXQQoGilb3pXdM9ZBlLYUtQi/nfiYOLe4l97Qmq95MXGRb39Q0XtfOElEIj1SYZbKp
Z2uKajEs1yi35QOO05ZctGmKOnwIG6usBBTHBhpMQRyb32vk1xZSR9G67Q410G0ii/Rc+wUTHlv/
oKsQgogQX9UiaPYHrt5VcMOK20Zy9Sz6AGwKOeonbH68bbTFOAWaoxxRKxG1RxBJG6x3jZNlWwFh
K6Ye6R+kJTlvPcf4g1b2X58nnqiLtZhEw88nPfSkUaHlaw6DNG+G8bryiB5gb/eZYNbXTrFc2fX4
aghQxv/zt9R1MaP4AgMTvpRPKykpxzllztgcmFh883O9o03z0eO1i/kikPnw4mwxn7zmq6NpYtQS
f6xBOF+gEFAC2nOawY6msVje6GylcqMoSn7/EX/aNj8dZXTPkKJjV8Ac9vmQCQuLzAenJNevAsrV
4By51jTaIA9rxtOorO47RKib3IYsjvRkt7RUIl7WAioOxAnC1wCvppWxu673eVe/cFcCkGbr8GjT
qp7a/AsCieEPfuILhOHzAex6Hq56G2RBwK+/vqJNOvngUHIN+QeRKpeaYJs4eNxalIQ7cEvpdVUH
xocMK/NtEi3YpDxbzwz0CrRwFQO+iZn5zrM1QG61NoDCzPsMjcTcyCN0qvpxle6xHR46AiiiWaPP
8VauniUGW0ozZ4LNnuxFOVtRXjEET6XxYEv/NlynV1dqKyrLBH44rJZgmb7WHWrdy+bn5B6pxXk4
7GyHrjD+ImB0F+SCDOmEpaZ092OY9W2EyvKoeiC6We6eNSm7DE2cIx6iOerX/ItcaRcZ/q2g4fz0
+/XgfnZ2XPZt9ORU1yZOIUhUv36zZG8tFo7Q+hAQzqed9Zzky5M1F/LGo/CIE2XB4DLdbT/ZMurQ
chHDACQuKBnAD8gaEjXtmF6YsZsWUNJcKOPCbFGosfFXNnrVvqm+cCmEK2MsHsGW/CsGoYBuJRVd
Wf4mz0GhZ2D99ib7esnES93J+uXn9wyn2I4nu322xCK+Lw0RPDIj5SlvGe+gQQPnlWT7hM7Xvu2a
bvv778b+l1XnAXKgKGPXR33/qdIxm3Ds8LfWh0x095qQTaupGJtPuo8n133j9YKBTzFIotKKaHT2
YjWa2damRRPPRt9BkU2ss5OR5ambnU7kV1+lN4XX0mFpWVmtQmBvXbQ3VQ2jxsdbyaHS3OazOXz/
/c/yD8PG5fNj/LWZNV6sop+NSqCbx2BqArYmw/rmzHX/QHqodXJBQKFUNX4ClD+6dKLZk69tlOr2
nfeIG7yyeBvw9omNyEl5mdhvj9lCyyPsM5o4v/+Y/wAH/PyYDtYch7sfx/2n5egupjOA2mwQzaNN
ndP2InW2nb00khJlGbjEKhCbDGb3g8icx5oTDFw+OsAuyMgYmoFf50b43DfZcz9JP/baogKLDmWL
FE57b/UhYptiAEfGJXajnZLyTqL/B273QOQHnB1CvV1I47VJDpAYXXn8/U9oXZyef9+APWLG6Xhx
P8Zy+s9qo8G4mFLZqoMpu2PP2kc0eRVI/8nQ/l9zUe67uXrNlXtjeMMfquefIJnP/zaVzsVrTybz
P+4xI9P7Lr2ACkirOqZUH7mpWQLsjx4OAdtsvxRoVguzOuXs5puSiX5bOX86gi7P8POnwJTIdSrE
PWR9Nt42zpJkhs9rtVz0unZFUgXUg022LnPsMwg48TaetSBVSUOC3EmnoepDVJd7QWxjYIhzeJxX
vdmj552VOGZVE+7w0ZpxjdI0T+wbsJzo120N3Xi2YlVYp98/xH/xw11uPzYfn6Xq/QPxwrUAeMjc
1gcjhzHdE5f3OrHRbwxPLaeJj3f2O5juCsBxTC6b+dy39fq1XAifg6uN5qBxXzuZkgu7zgGYTL6D
YNTeltiVb7TUEakwUo5ohY83CE26Q+7yOP7wM3ze3ViIoUMZwEp3L2+c/evOPwgr6draqw7wK6C/
Ior7Zoj1HuXpdiozzsa1Pul5ErupJ9NOAuyykIXuGIZUkOU9qs6hjowiHCMcBvNGJGuI+powpcni
J2Rq89Ek7O8JLVCyDS1UqM52WYs5Nqs/XQs/N3doBuA0dTC9UThi2/1siCxNYklAkVUHGPJbBhH9
tT0k3m1ngE5vggoUbeLezjR/MMqQ3VUSk4aiCBClyuwoCfUfXvKfyIpPSxx3Jr2rS2MrwKX863dL
hwtBuKWrAzHFe3/SEtGCnx67ga9nttR3V1QHGrLZLhh8e+tVsBFbsNFHRDiPaeNsw7p/rsum33Sp
Ok4YdNd1h8jlLsV9tuF+iWSrXIxdWi4w2IKco7HY/355/KySP/8IIWgKbps+E6LPDr/W7lYkNbM6
IHQiQWztEebYwPrCMUHz1waYN8qUObokNCzRP0b0vgaPYEMr2I3nUNxz43DeMqs9ZnkgXoYZYRCa
++qsshIAr4CGuBhORk5e3t2KYrgSxoCq0xh3s6f2TmDcafYAzsMU824dZUhxYSvkf9gS/xuk9uvP
SfeTiyvrB6tyID4582uUXwxs0uKAXDuNfC1eoGPpDSMMe2/PPaiZtYSYX+mchFxDgiqSoPTE4n5D
e7wcFKLYGyfTPb1u4nToyhMSjLNBwfxGwlwH2L1Auksja2EM47AZ2xwNvJIf+SrCL5ZZFowhpXsn
coI1MTpdeAQy36IN6vblWtoHXXoLEQvKwgFVbFdD3gDVpzgv0CVbQt2X7VzfGG3aXa92d9XPXQUz
eSSNe7RabEiWfbKH0biTVfOV0TjriDOR+1DjFWUUtMEXf2i3HsY2XE8zUpx+sbaMlPZDPgE8Tr7Z
ymYLJYIkQgK4xt4w4YFkgLWrHMSwdCogXg9NEtcFQYp4Aw9Z44ltbwfJSx14wVmEKAxE0x3T2VY7
ZWcY8vuVfOKatha+Kr3Peo9w1TxznlurenNyE7Rj1+qb0jeZp0PQFlP6VOgAMH2PmFkvQLg5F0hm
I3iwU1Nst8hKIWRPNfju8r1yiqtqcMNrNn9S3zAJOWRY59a2EVReGFuowtN8ppot0Qp5huO8u9n8
xc3zjwlvJzqAZWf7YGCgUmnnGrIuUUzOK1jTIUY0Q371Itynbhy88wXIsbEMUOT14lTvFaV/VEkU
zSgPho2Z2BfZPCzR3OI23yM02fkAcTceArxtERAe3fbuHtvSHK0DJEfEBW8t3r37bjYf66W+a/vi
yA17VyxOEDVEtcBmL75OJnIhf1zX/cXwvcVGnR9TfcnXyvwgHhlT0qQaxuM01Hk0dcxYbJ3/KHtX
PPgDzFED/PvOHds6Xkx/3EHkHs/toKZ9ERr+aWyDG1WFT27gvFmpaQHlDekulahMKA+za7OHurw4
EjAy8qONP/P5ktZgBOf4PaNS9x7N+qVI536ZJO0DTfCdjYUqgrsJBlytO8cewr2Sl13M87tNrYcf
i4EtLukVlF28UxcjfYXEvX9z60AeVb3Qhal4DaY6UNc8VBwKyLnOwqOGmgfXjBrpvHSMnpF3EFZ4
mi5fFTisLFJ0Kt/VuDi7bCSDq11KzdYPZLxuTfusZYnIdnV4PSbHxbLuVwM2jNpn0+7dm75qkTZM
dviesSj42Qr3Zignyk1QHdBsZ0KK+fnvu7oIGXKt1YFBIXrUtuL3pWF1sHNPvUO3cnetdIdjx63n
XnfNsJ3gN937GbPVxEgLaN7k54XNu987Nlq5H2XGymwHbMQFek8z1F8GSw9bPnK+z1Eqf1G+PK1M
CyBe3NMyZlcqxvu1X8+uOz6TWCPg+CleWZ1cJVIZeDuAKruFXB5XVy/MHeg6STtxj1hGmhOtOxGb
AQ8S468GmJF9UyXBK7Ym6DksA8YKIeboILsShHzEUtYZvjEn5K9tCJ7NWsITGk3KCUSVH01H5GER
Ft1bUzaELBYjtQtCXIDaeiaUwcrJYlMuIRsB9A3S8Jo1bpfgnPUWBjDvKjFmBDeCPDQvfBQ8eTFL
9QEz1D2ltDAjJQd1HGVe73QwtDeLRUo208HsxgeZjL4LKZhZ2deutvxDsQzd3QCq9gPn9BGGU8W3
5aDJnrjACC5A0aSxrKw568iuRYieTaf5j3wR7HSNSr75Zud8RffVPndNCUJdGfbBrb31tisHLig6
XP0riUaj24Rz+jJwXEe8zc73IiPB0qvg8ET4SNsP4ZbFk6Xz+Uqsyo29IleY0VK2nxZHS9eb/s7O
5A3Cv3dlu0SJaWd4QPLY7nlF1FOVFeKAmS7qxi54M1bsEyzIGu5ttx7TYWaGpaqlwTfm+g/jKIyz
DEYn1paqzszj0hsiHCzkPqCjG640MKDWh4kkMFy0iXgp6H7E5rTo58JT6XFobeODYJfxr2ZZhqNy
ivamc7UpN6ZS7UwCpYKTO6UWYSeOh0J4uMuEg+S9D3xsz4iZNz7aiQOTHxEVqHTwhWCLI0ke2NR1
aS3LO3ltJG8Gjt45pcM0hYbavq7RDc3ucio9QYJ4qKvvuOWIoeXYIdTZzGmdjdPZzkkTpDPcnbOq
SyKUiJBv18r5VlCpX6bcb/XcyYvtJL+p0P9ua3fpr+xuPuEL8LepxxEeNrN6xlYnNlbGaz56JBYs
VodObfVvq9E9XJzkR6WWS9Qt5r+stpMdE7JuS1GGA37xTomNxasW8tGGYnm/JLR4swSPvKFNFrbh
GGd2/31PzPBVSOY64WSSlK8o8NfxSKzW+sqaCiN8PjyWRPnYjBL5YmtveU76oTyy5C49qPH6UiyH
hLPsMo+TTiIN3TpKJ88+xOQ71A5sePPUtBtf2TgQl3Q6LA0riitUQV4aCWASOegs3J4wEAd1eFU4
Bxk21W4ZZ3evh6m5KiuUNPD2KyRPPkjxFAd/W9r9MbHdcucoz8HM0ujsvE5J84fLoHuphD+XX04A
qJexgQv+7VNnr08zbZVQpQ4Zd9/rcQg3pJQmGw+J26YcSvdQ2yU27LDGTTHBo9/qkMxRT+SYasnQ
vVkTlldSmO4rujPuHjJ9QN/vHaky+7fEH6Zdjpy/2qZTtrzWSe/Gybq0H32zej+SfEC/bxRmvREo
UB/srhpm1upQv3Uh8ctDLsgrax19t+SJODSY5LAnXqjJWNZvyj7dpqEkQ8USc8zu/xdgSyQoxfin
hvYFT/H5O2I4LmjbwH0AvPHrbQKXbbvqFZu6bXvLxuGPxlNd1NtmJlPj92W/9bl5DjiIRiAtVmaQ
LsiJT89jHUZiKsuZPBkDK2gFLO3oav21n4o0Io16AeQvp4dQid0qkYOFI5ovqRtz086crEY5HWTR
H2kpIM5y1kfTNxb804QVG8iX/nBH4W73L99MQNfywnGh//y5QyfasgucEWUK9d4cWxAmjz4GGoKm
BGL5zHnzyG89AbrDSiwoTQnE3WKUReheBv/F3pk0R46dV/uvOLRHBy7Gi4U3OQ/M5EwWuUGwWGzM
84xf7wcsqUVmUWS37XB8n8MLSR1R6kImgATufc85z1GWRja92tRiKaiUx3BNPSizId2f62ZZNTM/
naD+nmhWJiDr8xoP2ZaSX+WQyfylgK47i3K34w8D5dzjvXum2CjwbaMOv1MgHe5bEwgWztZ1xeOQ
qrQ4N+95JbBJ0PuB0W8uaTCTuec+aSPFdY2RBNxYk82cseFebR7yIJOkz1BwyQn8UEdiTCL0DXR1
nk48k8KzUoR7mkro2larbwzD9+Qh6JFSVXlojaq4IedfDfyYAhYloRYvGxKYa/b89YJmxobSiqnM
SI4hrCTh4qs0x/TCG4Kdi5bH48MudzgJBcXFcbjuunyXMT1fEl7sMCcw7hzs6HuQxMVz4mXnfuCL
heuI5yzt9x4x4DX2nSPh2a0QeN50s6s2eKUoBx7pXwIhNCuqrDrLB/VchcFx4HH7g5Zm/dKQNdVt
+B+xPPj9Oh1zDSuC7T7rlgjWsMyGQ5Dn7SEkqsYKsgTHoOCQjxlMk791x2vFrNr9WE/yt5LpNP7o
6KF6T7XDgEAuCMeddUr/lHgez/fK2VL5XOLyJ0LcsJ/uS3pnK01/8XSFBtf4FsKTuYolVZWuTVw9
azw6J6vOvGxAKBCI8yhyrGxc/E1PEiNLy7mrcyPk2F3WcC4UMiMeFlidbqAyFC9hECcvY27le4Pw
wxnv7XHOhmZcJFZnzn1u9YXDc2pmZ/LMpGF9VkZUcfdmxyZYRxr4/Af/6l04fbg4yCr8B2zyL/Bp
Xx1TH1o9deXCiK5kZxrf3DGjWUYzzIZKIiOKaNf0l0XaJ2uLsoFQx23QsoImiudvorTKqJjXjoRP
xMJDpcHCS6IxL+ud3kbFynTrcU34MKWjI3pE/JzkUjXkNJeErT2nIN1BN09Z9EcHAMIsM3uJmcAr
Z4NlzTSAinOnhFGsD2HG3x3l9qVNuQmrlFgeeS7qczdsxyPpu3Bd4menB7fjXsr19agV4LMZzm8K
t4mW2KK/AI99MMvVQSEyqsaJIJj2nDBSUSwgiaR1vMkF25c86/IrZik5GEZn0RddxYKsD3OKvupv
uVsepsnB51fvF7Lx9LgGdY8LA6bw5E55/2pIa69qbYU5KknABRHm+6yhviPIbqxgoJTU/6boN1Yt
FmZAckr74ugfvCuEqpuvLww+w6vW+EY4r5Om0rRUizeMAyOwSTkFUnxcSnCMdlMpxmqsrGxhJSnF
kFRPfWED+sUvw3fn8NJmcGPpcABPXlWKjNhROxye3uFg6SfqXUWNwlzk2rUW5jfp+JzUPCGwLa0o
wQUkQw2knBP0krNXO5RNfwxq/UszlfnWhv7Vq/SDl5MgRgB2EU8BxriTISAuEFXNWXhvyn5fNDXj
EItAbhgtjKbFVw+OAgDBs13wchRkJ26scCQOYdjfm4aImbS/49tefX6/nNpIXk+ZOQ3fJxcVKvX7
2wWXWdcnMuV20eNvnuvetRB9mI1UrN519bZnG/7F8+UX4en0kCe/kcwkMSzY62/koNwY0JRWcd6/
jL33A++8ijEgvQj6+IYeRJdJBIXIpRSXfaReE2Y4hlpYX+TdlMyw63BLEVux/PyM/KI4TZ9PMMbn
V8TOT5wK4mVRFHZrSwBtZd7OArc0roe6ufK5r7K6sLeDB14j6uOLDp0Zn2p4Oco0eTA8AUwns5TL
qIOVX2mYrrFfkwm1Rhc3luqtVUA4c/ICcj6CIJxhIje3ZRlWV03qSLYYI069GudU5nT4Yd2on+sW
zS9WaH1lTPhgmMuX5AE/PeU1VpEnSiZV5H6cCmjHZeKf6RYsA5laDN3inPmDeRGiYrIJNvxF6Mpi
kWUs5XrmSKTiADzJ2NHWgWK+OGAiriKShrtUN67Saqr7co1wbsRALswookxJtQ1qZdh2oxPU9PPU
Qbjyi2ajY+hOZ5QjNduIAjgw3+Nd1STHqcvz8wsqfpWXJmclIoDEJYa39ORnx35Bxf0ZonQWNB/x
YGZalTXGvVko9flk8WyhzX3XbTwXFNTaO2Ezgyobx1wLzFNma+eos2p48/nH+uiXh8oupc4+B9z1
yS/PTypPBMLON63h3I2N/FYPVn/rFlBBGKvncyMiKvn5IV9VhpNXO6w7Vcedr9JJcPoA8tkbhUSC
czBjIWJaoaWzwszHNbsXZTUMbn/2ajrw6xSpNaqiZUcUaqO7FI6P8usL89HzEMkTSd3mTFin25hW
7QMqcEE0YxVeWoakZd3rf5AC0mdt3qhXJGVWzCSiOxGDa6AFihrZsHgogYiOEqBsFqguFYmF/8Ud
89GlsXVNclWw2tradEO9eY25lS6SpIPbjL9pMxkal6Bj3ZWT4SWtuwHTLXOnr67NdL1Pr40Dpxrx
0HF+hUWzhxfRkDLtz6HTYsvTnR3Jtksx1uWaG5VVdqwcGNVfatSVWvPXz/H57TG9Hn/5BCiABptu
AGOnd0ffj36pknmiD5zxxDgQkiZDcHzVlHRXZy7bUACZCu2vv4M0Vpq4OC2BgffUidBjQYrYplO3
pETm3HDb7jxDtatLZ5y7idWcB6344pAfLdTAVRqT8m2SHTy1FXhukkT0bnDrtRFP3Y69fggkIids
Pce6s0K9qolsdMa8KNlPKGr4xfX+4B7DzMBPkJtfaOiU7++xvs9jKbw836gDzWTF8EBTlD63moAw
cHSJIyRd/+WrC90aoyz+HoiRp5ZlhfdAphvQraOYOZRLSmgD0gZ3btHRCZtbz/AUm7Ov3ZQf/Mgn
KOjk55cYHE7NlFpJr6rroXyy6QdkQyH4FluywS+8L79Yfk4vrZMbWEe5m6YipnQ4q+/PqfASuC5W
jJKqxuO8kOYhHUnPeKbJnqBD1fr8jBofXEOd6fBkoDCYn53eRNTZ+aIt0oz5mT5VjJZiK/rUutGb
MbkiQx8e3dYmjhOE51KpnxVYJDPDKpQZTrtHmGqzcDgmwhrJcjtAn2nmLGvZXZLjb5ZxllO72bDj
aUfZ3uQGMZ8ok87crPtxFYzQQUx4FyvLop8dh+CWx2uxbPX0uff99DoNx31n9k99mRj0P1ds6Esi
sTOBBLZSc7NjgUuTuFUnGuWrpBsyOmWzoMueKzOjTRqM4jXasvuFDj6lSE4vEUwBwsokLghynO4Q
ug5wVweoZYNf0mPJG55XlrcI+YEb0wmZRv3QJY/dmD3kudxq9Q/pTr4JNaFm0fdWAAH/viz/S0Gf
P5fi+a/Egf5fTPpMUzLT4lf0r4M+e2a7KXz5f3ZoYRn7+7/1M+Ujnd/Y8eLzVvmZ6/D5Wc93L1X9
73+T8jfTVhki2PL1t/iPhI/x21T0Ixx+o4RegOC/TfhY5mQb53loTXsk+68kfE5+nhzC4ibD5UbM
CMFAP3kcELHHuy/ws8TC065iKWHwGZjtFPrA48he46Ist3ndWsMXD4aPDszum7c4Xwam9PTnb9YP
UFADqXRNulFFMJKmj3Fyz0km+M2xa8xxW7SVdSBn3/2159/rF5bwgDGSqYZtvg5H3xxXcUZnKCXW
Tdxw6Ro4sLszO92ELp+Zez/NlO9vboWLn0/Wt7kblozvf84GG1aVo/E/CAFEQE6+KdMVo+5lr6xb
oVgv5ABgKA1q3x5ULQn8WSXa9tAj1D7h2S/dOUavBKXIKoO1Rpj+CVZS9xzHwClnYgjLMxBj6XWu
e8YuKILhqjQi0HOpJyibFSwHUN5JzC/CAv6EHnRKMqsUmcH3bxTjyYn9gOpBU3UJzw5w3phGyIUM
s/ylSxqMCRR0wiipXQ8mbksOk+xgGBzTojc34AFHwOTj6OeIv7Fz5mCBnXqfBubYEYiyDcxYHt4y
DvwCp3PnYcQxrP6qVRNnTfyn+2YVTfVDwha9inrVuQtxM9LAMXASEOdp62TiCvCu0vV2nWKb2lIk
gzzTByCzdPL+xdKhfT0GnSfty8yOmwtYTmm69Gq92Wmjmvxuq8mwTIAA/aAQy8Q4GvrIj55oD8LN
yk2WGO1aSaxkCTfIrsEOuPqWN2LSgZBwJJFLumsuAuIg7Y5gVE5D90DQFiBVwnnMI6ObDZBRloSr
Yx8rAgvOShnlSkmES4AWyfSydnLtJh5DTiMhowgNSHGNp76icQR7deWsbSXF50osdu+YCZXd8C+c
M83vObdapMZ3cFzp7zDdNr4rCpHtk6zP9upQh48mk1earHORP+AM82PQNx1nQ7oyO5dMxNuNyJsY
WIbDrdLUnPC53oEnmONfybZCb5LLrhA0eEawklbSEOlOmj0Jam6Q88q1IWBZMO3cWaHiow7HCbjY
AfPTr7Qmr36gzhVnAVMHDb9PII7ks0miJKEZXXTYJncprB1zRZF8sBZOpTGkT1pkeXB0E7OEhOHC
h19+FEjH4TxvJmIHMZsWG3NNmfU6czHdzNyxq2/DstPuAUeU1dqFnR3OISIy+0R+JqyMcRy2BUHc
0Fl7wjd2IyIbNIAxV7+3jgskTR/VfNciRjPnbqZTDDpz0GaKLxs5VxMVwKDjlVwaTJ2uvVToDDtv
2jr5FpmDvIqM0lm7XWpDuPfgdgknwfGjxs0lzi0t2Dd0tK8jSPhEWRKR/M50pV03huTs8VLOtqVM
iSUzziBMrHAu8iCaemj9On/Q/CZfyYCLCiswOCZgKSaUYl3f9krOLy4t2uQy8Dtu9xL/CwAGEfhP
TqMjKCSOf7T7LttrbpevOhmVG3i86JN2Sa64ybXwkaKG+lYMrTiSEaHs1C9jc2H6fv/cYl3e2pYH
GNO11e+1xXhpwexIsRZapZt7esTRV8qmem65+2YQaLhVPLe/sjIqieZuYfJDh4zIHH+EV7oVcZy6
MwrGgn6deX5nQi1X4EfifHOvZd3bFLejEh1DtirQAzBIdPV4qeZkrWCUGtqNm6c4jhQ4tjMBzPuW
5aPyDLQ8Oasno4inNMax8ASn1ONXR+gbvVmUZXnvvxpONCfwLn2hZt8jbPPLcPKotFgpd3qBi6cj
wUJ9MXBM5gffxumVPPcLjYh316AY4XLVltT8ZMs2LG7x8vlndaOYN03ejXf62OA04qQ4VxV5042g
77jnamSo3tJ1d9I31g0JWJaBRX4WVeLF7MP4in5hEJ7KMKxbLIsXQQj5OCkxiauuPdwVtmeepyy6
lzCg2h9dUdJCHJQbqGT296KqYJC6NvRYzfPgquSqTz4qd891KgjXuuWEW4/l/MaFMrPoM1+b+7RQ
AuQoKPplKPA4pInJ21rQ4tbgJBzpwARwbF+EpvhWtPqNX9blA/Mn6sbb7NottHaXheYLVDplIQqq
tAnu1niIJ/E8afOAqSZb+7XSxgPSgR3r61bR6pU9kKgnQuXivU3T4dxV6t/dohKH3kcQjKGLYUQo
8ttolKhFTn1pqp2+CAnYbs3We3ITHzi+nxs71wcEMNObeqBnpfdRv8DzsynzHuBsMAzTtaNdGjhP
3ZHRxejpDWwktUiwqSntcsihRCLtB7vchM9GHXSttODi8vrWLjQRrgpoq6sMBR/nTllrM4z95aFm
znYhNabHTiubu5oW3I0VCINLWMZr26FDkU+kRwcFQx7EZGNYyzhUfzR174HJzNJA7ky1nHAqmkke
0nCjWSbiBKXGAwrMoajGBNRIkTAJZfsZDIizqAZ4lTMdJPiqrd3JsN2++rCDEk6TaP3zoWp/RF2g
AlwIyYLmPaCoom4O7KRVfMNWcRwrbFpVqvdLrD+XvS0OkhwidlEolTrEe0xxjBKBWYZrRUoPPDpu
I+CkWDqS81fuV6tA3hWR5jEbsvu9U+EL6GxD6dkqHDSv+oT9pRh4GAJYMwBU1H5hKpDBWkVa/iwI
CA+ZCh7Ff40BsyIz0mdVbLs//hQGzIxRtpIOtoeE/6cD02Hrp19PTDA7sasbbnOKvP9ggvUiC+/M
If89hgz0LcTOty1w40Hhicsr6ebBPPLLdBYDPP4OlcU5Syk7h1WVEGBV21tEBCzNeQMyPcjiee0U
kAlB/I27Ouwr3sV24IBMqYtD5IUwHKMMg46Std/8gnedkzlioddm/pMZJgNZ8dnrYPlPcFhGnTcd
xAOoJKeLm+UJOczzY16hjF32RWjfBVBhv+Un9LCx6cNzwLhiIdjf7ZOgDw5OFmzJjsXzSjb9qski
MXvFiOm+7m97R4+u2sb3eLarDUyraiQDQl/ycvRZeXiE5NF4cNNmlZZfQtvtlFmYiW4aXOZYaHQY
ciQcv3f0mM0MeMwXaRR0B9NKuoXsKuglltevlY6A9U+4GKlUCGMNDlhMPUn4CNhCbuFti1mJ62ju
BlH/C2FMMXvSJDUVCqwRS2eDzP4LZkyj+uF+zDLM/BWxy1fUmJ5lrGfwIG3z3l01LDvOXJsM1cxU
Cm6aX5lj5VC2T7oNKHset3HrEZ9sAAIDvVlISLXPqjGQzjlhjlVUTd31fg3i808xx9q20gE6Tg2X
HEVjCUnCQULFAd0+qDGr2TFSzT00Fuectal239I9zuoeJzjVP6xwaGJvfBroRedFj4YT8+oMAZec
jXYnjk7tafe4ofsrX3fRSxRVSXe20oePWevwd6WJc67gzI0WI1V+d0EMuHQhnYJVNfCkg4ZEH85y
WhoSrEBN+Fhoo7wSeWfehoztJO473K0zRRjZz8Hd/40LSOfmL//+t38NBvm58Scv+K/HBXP/qa7h
RD4lH4wM+Df/KN+m4xJHv2aDu2CRwp/8HBk46m9UX6rUJSLsiZ+13P8cG+jQP2zkUzQTgDjMGf4B
BlF/Y5NPhNVgu//6N/6VscEvEjrSCEXY9tSWxkjaORUAASYzKcPzvxGZ7+yQ7aGjOYUG064rd5Gl
X5RB1z74QiY4rdlOuEqehiDyuq9Uul/0mkmkIW/I6JSOOKLdJ0PiNhnrCJpUuUmC9qX3e/VCGGl+
nqZjcKNF0mDZkK41Wh42cWkvg4bo/4xmirOo7cwv5tWv3/rtcBV5GOSFZGJjACkhs/Z+qKH/gbwI
LSh/xGesfeGDUIZQt1fh+D0HHYojIashI87kBtm+YFmOWedpNFptGZmZsVdGxIMB8ugsaIfh+s2d
9sE04hedj0+I5WIS+SzGEfzT+0/Y01wj2rGuNtUIHmAGXnwBQpPFixbo+g7zNPyMnlqMPBrZ98ZU
ioSlaNc2SOK7zAmtByAZxkukIP5+dfK4oU/HnuiOwrAI1jpE7U4uJLulIndw+NAA7sTz1EzSmWMF
2VXcs7YzzTi7LsfBffQ0nRWFHeRPMoA2GjL5vY1U5r0q+ZIvhlQnoxssF9O8Di1zciRMJdjvz1bb
j3K0FUQutVHkmaCl6VzFLrdS/RTGNtu/ekJ1EuoJGKN8caUmif/tvcSx0SIEK3joKbZ6ei+l8RRl
qtEimB2CiarjH4pvGwtWwtjlkCDZG7HOgwINLw/L+KbBlLDMi9K//PyDfOBX0QxVWiBcdJ5Ip5el
a0vfCbWG7UowXg6ZPZQL1rHmvtWcZNnWk026I/UAb39It+7gbj4//AeXYOrI5LicBYJ3p8L0kIVa
S1n3pqxHcTRTl4GORUbRCRXyCzldjHS/rMIAOuHnB/7lwcIFgKxE2pJnyuTzOrn4kQLYVBTFNCkU
+ZPeGysnD7jggHzOs5S+kWHMY2zGHQOCJkREYcvXXjRZa1I4wy7284+jf3A/YNkh/MPeRFr66Ykw
IWsrmE/h0taJf1SiTN+TuwfshXaUnlHJR3lUy/irdvSd4NkGsl1xWfDWVQb5Jkyfu1o6azIlLnEl
Q11qxmhsqe/U7rPQHrHolp47x4abXKYQHuEDMECMfWYMS8mDaul2Yx8vTfLtBSkYurtnpEzA2hVm
y5BDmeZZsqpvP//S0/T55DdA5yD9qLyxVOSQk0ugVo0JTA3Cv+8Rw2Cp2wXryhDZuR44/dXnx/pA
dsEkjNJOPyq/PF4n73/sum+Hftsq5cYvCkfOLHJo26wpGV8xGjQpf2MU550Dtmd0pCajfRl0an8R
J0MFn8Op9COoU1HOQYZoGk58Iz70SYgk8/nHPJmb80gymPtbuG6QRad/ev8pi6TNcroy2w2dZ2S6
ecoDNqrN4szMPfsKd5d+KIzgK03qVc5/fyVeywAR8UAI0VA/3Z1vxua6yhiyrcEsjalKEwYzuxlw
ceW7rvUET8Tgst02gWR5vSOOcG2NbQqpZs32j0RrLX/v/PYCXnd+iEhfrnvDSjZWjv0zkYlLk4yf
JdcAlt2HsAH67EY1FQsOxk4vFvYXz3TeKHzW99/FNCbSGo8z7i7c4e+/C4RVzbWxayKBkpypdZbN
syQrFFbd3tjdqFBOGyiw9CdRHa9B9OqYNSYDYRmcoNz4TqaLuaYPnjMjZCeOahszWXOa/iIMM2We
NE58h4RDiQI7grkiu12GNZqE1GSGdQRVhBNxJp+Bn9mUsbuPp5CegxF01NwlDGrygZQuhpVxYZTH
xgv2UBQegrHhhUdXysyG4XFvhB18K0TioxrqN2on9rT74MGRQNMlW+dE0e/zmpuUbF97bTtht0FQ
XSsKrR9GUFVz+iUSDMXmjwqRf5YEFsG77EKaBV1VnbzyhaIveP3xbdWRqQupoZlDzQKPEoiCmXQf
S0hjwIlbbQ00d51QInEwMgWGOrbXuuJt2VG5hH0kXgSpoFyPuVpZqDsyeXe5gPHssOgQmUBVpda3
4tc/1/qkOw5mfgH91l4FcrDu8qx96h1Prvtq2IfIn/NQT37ko+iJ7RVzvXfyXUx3w2rECmxZ495M
smMbsNmLOmcpKkpd20i5U9vI343C16CbIhXAO5GD/uA7PAppiaBf6KCO1lkqu6vGcpb21CmQdJdq
SHyCephlTh/DpVb5/Zax/Dij//I2HItrpfUu6c7J+N7qshH30n1iiEHTokbbAORut8nnTpVuiiFv
zwFw/VDwqZ+5oZ8eJOVpNFpZ2zb0V4Oeab9H9bBvkv5CqMHWT8ctyBPy7OY8NeS2j4zsiZNbAHTH
NJ0RIEtMY6u45pDg41Qo7xqd0CwhvRdZsY70geskQ3OR2A1/fZ6J6yT3hys/MWhPSBRxo8NRwYZm
jSWAZTxthAydFSVw9ZLKhJo2q9EW2ywagmHmBPkq7SDkziLDoJcabzNv3bF0u7MigBYQvHZakhGg
Cy2oYj6cYzfGuWr5zndNjtXKQ35clsQmmk0BtXKJ/4+ezP61MzN47c8UYjDuiDXTqollVaeBFXxB
sAzqGD7F0JpA8i2hKC+G1iZnjMMJVPN2mto6p+JO/bXDE4ipli6FlRhb0ZXNw6BCuyzgBii4ptJU
P/YeeBm+PJWTmAoK8LALxCNspJ8/n399uNiGmIRUEvUWGbaTBfbgllkd9Bh13CoeD9BX1AUzYePH
50fBLvzuISY5XYx+aWaV6MY2vr3p1fnmgVyoPHKRJfLNOH1RbfrKNHwZW6byero0Pu41NWIzObPq
1vv9P99tiqbHlRwpW7sR0zWuK7MzzsPpyqfVSGDuTcmp4qY9x6PubB591HSK8mTwW9B5ZyGfH9AD
jz44x33kD/pW1mH+ZP65xlNzEP5KJlWxkProXTBDptjDqP9U46nHonMpueFuCqlVV0OLvvS+9lRR
1Ifcu9VjK8nm/03Np5iogmJarEmAep3++OfrT2UDpdm0cEOa2kkHKqZY88KDVgdnhvjF/3gRqoiN
kfpHN4av+P9PE2qiBPZDWBjVn2xCbawS7RKztfF/Taj/bU2oIDrj69KpsHyHzeXndai+TsECEsf/
cBeqLpqekJc/jeBJ4GCWK49OMYB600SAwGq3RjHTRZQQgFIpX4GXLgOC2GZz9OqqOIA1kReh5fpP
wsz7ZOVl4tmnPPKRF5rKG9ILn1jwO/dA0Kst/coVumpU2+YyKQq5QNKwjm4TG+dDkhjshejfWw66
Yh9HGC1gBobAvbfRFPeZ1JKG/I9Luws9r+Ym9UxxpdSxdo0OhpyotNULkFsSA9rkti+SgJYDyx1I
pSd1dNZA5NtT4YHG6xWmep7k0jsUOpvAUFfGQ5ypZrtSQIedd0PTnRmtcLdd6GK/cLT0Xu9VdV81
Q36maVaOEX5opkbPLJKUhNnkCrXQ2dUmWE2tNcqphUGtdolSd3s4VnvP7JhZl1E5nMvetXdoqhDl
EMDmlVlpl3VEH3TgV+llCDYFxXno9W9tFSFJdo7FmLyn2NVgzEgrdNah7Pa+c9W0Tbb1Ug2sYW5X
K1X3g2NhOiCLTeILK5PikHFBuKWlBnHwFe5CX3HYClsBfUwuxdaDptYbt1P1HX2U2daneSeat5Vv
GJvecJjkk4Wg+SEMmN6XxCCtGWCBzrx3mEutpnqbpdNgHa3K7SC830NJD1CC7QR1mDZwjIwYYBop
bbqcGQbPsVA4FzHp3zv8Eu6jSrUPtDYEcyWhG2CeBCr/fyRl/0iasXly0vQiNatsJV213qOIaZu6
KZ9KPfG+0WlorbIEplpppGtWFMAxoirdKR212xRLtWxj4m6f0151U7KYW2oIlY8hhdygCsahvmUX
O304Cj8Oge/Sr2A2iAm9ozh3NIvQORBquZhbviQRIEW2cIY2nLelmh2tYgx2pRVTup4yMeusPt3l
dM6s9SgTRxEX9G3SRPQ7STi2WBR+2GicIonMGbsAzFLJyIb8yFaXfGMemPOABpOLuDQK8sg5tP3a
dbVFATrF2WtB4i2NKIkXNgBg4sV2CPrT9H/oPr3XKViOc5IKrTVv6INbA2ojd5VqmkNdmgz9eYJg
u8ydcrRnvugg7VXqhjFAu6eohlSrT+Mxuvawk2FClLTgEnhhzyQFk8AsmlwRc9maYT0rRq3ZaPxq
rh1NYFbqCIE/9R2umYI978h2bwRYmbcOHp8JD0cWXZ5TMMI4MYSekGr6tgoK7d61JLy8jP9iJckg
Iheae+1pkfnEzk4hV/tqz+pIkd2zvrUvaU9IlxWRSVwm+Jpmg+JiAvUr8DHEIekDmRtJqZ/TJOCQ
9avFznX7ZEmsvF+OdazMPdpDDlVqpcfM66qrSnbfdbY3HdT+MDtEQ2Hv03RaiE/oGlswd6O8xziA
0KZkw+zab3nuMSShVje3ZxoEv3lBK/MzoSBMv25Sf2fUfLAqJbNmbupVFzolGrtGD9q9X/iV93M+
8pekp/+dHlR2Gv9aVFr4T9HTB3oS/9IfoHkoyChDNvE6YnVThv3vFlTnNw13KmE7Rt2GgWfkb//2
Tz0JlWcKADB5xS9u8i/9Q0/SwNPDQsPbKJ2JyvdftaEaiDeToCX5EKeu9KCNM41O03IjMfVovKRm
Mih3uYyeeLOunTD9IttwMlicXKAMskyLMwKmy5r8uG93T9TbME718OAw9rZnTZc6DwxFrDVcqv6L
vOvJhpBDcQDSrgJkKC43+ctGrZNtMJpMzhJgumHnzHuD59mbi33xc3j1zmX6bjdo/zwI7EcVncA0
fzl/OdQxOy4T8OI8TOtSe7SonSMHCg6K3e7nx/rwC9kmmgCQM0azk2DwZudZ8uP2jBaqdtJ45Tl7
NqptYzXc/meOgr+ZO4JNrnPimqXHR88UpSoIpPkrO8F/lfpZ+8VX+fU2QCWdpr0TcQ54w8lBGE7S
7Bgw1aRRt8RsU7zgfIouVK2PvrgLPj4Sm3YHZAfJkpO7oNaKIZNdW9AGkp91uFNsrFz4Y4v7v37a
4BP/cZyT8TAzYRNtsSk2gT8efCb3dICU68+PcTpAfb3buAHgf6NNkYyclLw3d0CYEtpPproUpbco
J76Pe9Dj6zo7CPuIZXcJig7zzRX/04L24U8bx1t+/hk+uAl5Q2m6wRycefRrWcSbj5DxciG3UhYb
NHBcPo1CQ7r/VVj644NMuhOCi4Pi/f57anaCRISpbQOIifHjSOIPWoV1/vlX+eDWeM11kXgmSEsy
/P1R+nJQTJelycaA4MpYDdZVvYtBcXx+mA+/DLLvPw4z/fmbM9ZrrbDxZHNneOFz7xbbNrKDLx5D
Xx3j5C4nLG9raclXgT616NOGki/C0V98kekWfjO+n+6+d+fr5BaH7JfB/uEgjcgpiCzTauZh99zh
mzYY+Q5i8fmJO1Egfx7PIm8B2JF3k3lyF/TSiYdSU/hS0a5KwI3qh7a6L5LzYUzPo/6LN9NH3w7F
mbT5dCwiI+8vEyNFrJxVUWzqwojO/TIMtr1ke6cUxUsjS/WLw31082EimV65crJQnDzMVcXpxsal
lyI023ztRmC5WyP2Hm0nAEP6+YkkZvbLpXMEP5nXh67KEP/kVBZU+Cpe0qWbLAy8ZlFnhth6fYev
Pu+YuK/1rKNV1K9Vu5uJ1BaXTWe+YOhu7ktUj6XilNmd7g9+MgdpJ1BtkiG5c5sM+52hdHRQKD3g
GRLJ+m1O5/l27Oti27iuXNtVOohZ0Y0dHloHIHUW2TYo0Ca/CxvDwHtrNweBd3QW+PWDi9jFzjXs
y5nbB83dYAUvXaOay9ZFmsmHeEdlRQ1jI6GBD/X0O6btGjvVYF1plvBWPaN1QPR5e0uuIIGpZwFn
onqlaEERrqFdPoC9zStnEw+2vzTaIpsFVc2x7ThZBoEnbzTXcuaxRfUBo77ioZBeToGzmxS3nq+Y
V0IOlLGSK6HrPMqvi84NkP0w6RvjbChWvYZgVas0/WbmVWoW0HI1XOhjHVx4yVVQn5HvNs5GF4Lo
rNVGy1rw0SpzBY02t7ZVUdkPmOBeNLamA+2niDRDwqodY3TogNSh9zaBxeoFzoMx2O6awgTiyLXU
iz3F3xUgo+g7pLuIQvIWdXylu5PUV0wRZ7zcvjBnbNG9DYWDw0JvlXTeK+ld1MFKKqDLEmJZGIHB
qSJp32PitpN6gW1k2Bki7u7Vgh2GOv3Mo1DFGV8E9j6yu3xZDWg3eUd3g6xhHcZ9B+nP9ezHIVCJ
/0HhpVQ8foZxm62IOWQLmbN/hgxV51DnO2qOFiQHCCvwdFkXbjR+r4ya1nU6vPRxXZrI24R1vOZR
VoL+XziEmUSOcsvyrPQcH8kob1a+1yHBa0N7K4cs3eppVYt5MXpIjLEZ55c56vWjN9ArOHfHgAox
DQP5lVU1Gf0GpbjNVPbSgOJ77TFyYWTu+q5RHhl3mSjSJoiYumkzfU5KwLqki9BdjLmFgTwxfVBt
Sp5vO8dUf+j1qG8sCUK/c8Rj23XLtK7DS58U2DHF6J7MtB5OvYGBfVcMZTfnA4b74j+oO5PluLEt
y/5KWs4Rhr4xy3wDNN6w7ylpAqMoChd9387q3+rDaoGK0CNdfGTECyurrIhJKEQ6HHD4xbnn7L02
M6jPIhnITivm+coy0gnmEGlp7PNs/EJ7i8knCau5WnV+tzgjGmRhT2ymJTDTHywWKFxeLxb2qmFD
T8ViqNBP+8WpVWgoXUBjcZ+pPQHnNKnYXtJ08Xlz5r5bllxxBer9NjJdLTVQoTW2+j1JzNyPKjU6
RVIHmdDooi2ZprLbkmmz0aSsPTWahKE5+bQQdJ3InfTieGw1Zlpo6ohOjq56S5xVCKtdFbJ7L/pz
GLJurV/WyKe8yGazC8Tfn+zlvII/as/ZnT48zH19MkhVSjhW/ohAh4jQRsn3ZSd6ghjNuQEM1gwd
w3ESdYY1wlspURV0Y5bhSqGpFpiyuBKMwYJkwr1vdHSoir4vtiCX2tyL80kKvcyu8i2wU/W0rabW
pfuoH4/c16fol9IN2aa6l2TN18JqoZM4MvOKUE6Q5Y0tgdDU0ye0LuwdMRDDtmmz9GszZPnnjsEg
WAczxM09EzqPbyn2uRGzba0aztU4YNxV+r0TK99mecR+OhXavZbL+nUv0aqZptjxFjW5yCI590iX
JDOXmf/nbpFlTx6K5FjJ1fKhx7tgoz2v5C/LII+PjI2ZksmZctIt4zAGCUmwX6M+brZ2o0QXSQb6
rJqLAZt9XtOb1BoLdm2dSeihHFCWX2OW+BMs252v2VG50+dF8VW96a+nNh2PC1vChSEn9grutKKz
sEmT3ksM8tybxZkesryVH8o+HS7m2Er6zVw62hkK6vEiF0lxnpS9OXtkn9ChELJKtFE3dHIgV6VM
FmFVadcFghUSIU37uh0Ny9Mk2dlOmrIcQ/iP7/K4QcWGi6klwxby0xXSJf0KtUSFeCjj4VATGLaG
yHsTqDqIWHLZBLFtdoQs84vLOCsrKBTmoFEq6UmmTTG+kqJzAV4R+qelxGKn2prtG2IgRDqwKNxA
RQeA3mElncevQ534VlxbWwASeInaXL/r58y5RrZPrpE5g3lytOikkNLirG6IXZfaZTk18Xr4jWSL
T30UxlyQ6Iu8hqgDQXvE6JHcmS0aQUNuZeTg+DXdeEYAhzllcvtiuM2TPkIV0B9XcWIGaaZOe2lM
452QerKIyiz9rA1Jesw2lkHRoMESm5eYUbRmPJGnsZzpfd1fLVlNEFrXq1hCrIwi0kD8E6nK3diH
D/MMNVoA14LNWFi73CnnozDrySEvbXGbTkp+nFMhBBpxMvtKysagBJQahDgXfK1ZxE4eOot4R4ti
fnC8Bi2Lqyzjpa6JjVIBHEd32RDBOy8jbgLbMhH+JOa9PZbiS1ux5JtwmIdasjb2NKZ3o16RsSCN
xA7HZhFYk8TA11lIdpzQV4JtA+ANGJqhK+PqurwXIlTOgbAZ56LSzHOhZCouu945ixjJM8Z34ks4
zYRs95UdrLTAU2T0Jnr/kIoEnlQLVDiXQH44qafA4G1cuWnJ/TXSOj1u8elSMDid5deTRCtUZw7K
9Y+2ZqXUUCp0ht7y8nWYmn5G8wKArkCkvgcIGF5IahHetViZUrcz8A+6MKnvtJmwABc07HRnhRGa
cTMVsuUas2E8aOSWmjh3FYF6rMCH0sh1/a1NkWpIxdK6/C0aE/JjcROrTlk/NrqTH0FqlYjyiCTy
kDG5+u0ydL6qneGgWUhvmU3KhcK6kEuVdT1qgWC6A0lJbPKEDgsfB8RWGaxlDhQbaJzDg++Je6sL
EhLH3N5ZCBfHROPXcpY8Rakyb41GLWIIaTZLcyuLx9qEpkxhKU7x5+ERXGSwbMoIFrVIBdp8yNJf
ikx7yokgOo4lE+as42RXdSdI0XH6Ij9KNEYAbmNq3WbkG+YTnayReE/CGsYIQrZ3raEASlyI2VmW
qL0tyJ/dkwi9HCeTKR3DLB/8fM5AWVnC3KXN2AaZbJXbAjqb17VRcVTWJJhmcjO6NQq+S1AN850k
IZlwZwvuaGtnEwkEbXM15pIOnFEurpUCCnIpCWRBolWPKh17ZqSvmJg5MbedmAm4JwfIpd6uoCfN
5Ekt5rDJ0QO75HHDNZpyUk0wlrr4EMXFQurtbrVmF2H3NZo7qmchI6bIhJ9F553CPpUHIP5SAQ0J
U5okIEJetaI8WjNHRWl/1Yqvk+RMVEr7QbPC1d8aqI18W+fUaXL71VTkE2FX6ElT+YgIugst2hWL
cusUo4cVesOuP99DbKeATuzNkmkjJVDoz5rhy4kxbkNp3MGC2s+T4/K5LK5chXdZnnlV1RwvrOn0
Jlg8yvE8NMvzZSbGaxSW5knVdKuw6QgIbk12zLnWtV26m4rxwm6ZPfbisqJG7Mx5A4mmcQdlIigS
p6CrKuVuVNjWJvIMbZEvix/23/FZ+HnPukfxGQWQQ2avk+tre6gJeDDgO02F9RlLkuqZkKIAU4uT
mRHFwLTB7230tKxN63OyulgioXmk0rujEud3Ih9P6xJj0KQSP7861BzluzKcKEr3NFoSti7FuUmQ
wagSrPF8YefDtMQwlNtJV1inwyWwDSiwBc7qkaP0JlVxY1Y+lerVQhSvIZcS2AgoQflILkKYngnB
WyH7e+LSMWLNlmY4M1ryhIoR7pu6zBdLoW/NadkOYXo/Rstl00tPFE5kLoWJ5uoyTS0pfmCnRuno
mDyvjfpxXEzFXzNKaLQGpdaEn7iLTWpSDSw2xm5PrQjDTIW6Yifl4zhSN1PYXVG6IVAVKAlr/Eba
LpwWZhKpL6Xh1zHLL8w0v2kANtMH6jdZopxHrYWNNu9T0xeiTFzJjKrWU2K7ll36pgWxIqY6UzWp
ZblFSMbkjgRT/HSm3Ol3bBF7NHjJqnyXjPpqKvUTjXShY7n2iZc57Re1C2SbD16amgxSZaGD/dUb
xlb4nKi7250ex8WJbffDN2Dx8bFdfoa76SAodSpEmoPhJ/zouQ5h98KR5nrL0iMYjZUkiWGogGwj
Ew4kZ90+spk10lwbR1aoPrFRW8oVdZC5NaSI28suriqpNTJX2HG5M4s5uUOcbwZNqddMa0KS1GW5
v5l1y7nUGBd7Fvbte0kKW3/A4sV2ThU7I7HS+yQdYpIKLPJJpf1QTt9j3OyMsdXGDrqpiW8z9MZ+
TijIMToJsSnylmkTDkXAmhQMMzniGgWu2pkSO+Z+NNkP67Uf9TbWxkX2GiOLNgkD1M2otrCKCa0/
idqw/RS3hLXkMQP/nhbyhVWoSjDW1cjXU7VvUB5TrZeqx6p0K7eZ8OyuOUn0+NzOcnZNDbRq+N6J
uxTwhzopirbhMCn7xhpNT8ha80BVKhiCsxlfd5mOs0Gy+81JLkq9QO0TPQJ5GnYkxJxYVjWfN6XV
IT5j9GUOHExXw1Oq2VvZmW8XkreCqKyY0+UaeYa6RhgDWrUbqdR3ppCvRC+113ls0b8o7PS618t2
R6NAfiisGge2Omk7p5TNvVQZ2VGeDA4Dh7AN0kYlGTsd99U8LZ8tk9QVtZhtqt85v2RyPnoE3jLX
ZwDsTVNtXRfcgKdhSrm4VW0yEmQzOU4LS7fdaRLJlRWxcJAsDpZMV+LLuMLVy3gOXAGa9A9U+Qdd
KmQIkGlQAa8YDRU11cH8hBG6HJe5wBTAcJmIhe1ITpubV0WQy938wVbwLbPRq6OtO8UXrcs8LowO
p14DMbQ418UX0d2Xggqt3qjiCwTLgQjtQlM+k5H4QcfqoPf3y3ke9GajiLCGbJ1LMU6dvydhT9wg
mtYvY4kW3bcwRnntFM+Sy06nFbNbyAAnZoyWrM24c1sUmykhlxSgEXa7PMvJgl9w5xLn+EHr9e1P
BEUgDW/QJoddyoZtlx3l+CTilgxEHRYZCz5wpwwynzFSp71/Zda+4Ism7POFgQDJIFEF4cJ85vVH
MtYSWHEWG4LGlx0fhCKWzVxsnCcdrj20J638qFP51gkyqgE6qWhI4A8HQnWfW1plqfWuUc1zvmK5
xwR8B07F8vXcDt4/vV/YZ+sN/vJoBzLOqgeJMEYa4ycr9TMAxyyL6w0HsQejA3LGaTN39s1Uf9CP
fW64/nJhUY8y98J0o5sHFxb0d210qwCcAEYFoJ01AK2IcDfHiaIB0kiK43YxR3cw0Mu6SYSLPgJp
oXtmlN6t4JGTpYcgFcTkah5l8bUCmK+GgTHKzSW5BazRNZTfcjhXlIyA5OqqzHnkhCcNCOF7s8Ud
G/aNvmtqm1q4ahoRqPT0dqRjdyejatCWE5iJAzuZ3V5NdZAxCKQlKWLHUq6+ZNnSbhu5Qi4usnQ5
keNoTVhQpNUEV1dBrBqPRtpVZ8OgtFdNHH5w/X5x7Tx/cHTqsSRq2KYOb0zCYyqVfJdmx9hJ4xST
aWOV1ilLRjNIV3xeKQloOaFbgn1f8eGU5aCfvn4v+Hf1FtAZAa5+0L6vZNI0cyfpyaKIdbfXMEzP
qDQCFPrWB1/Bt0519T7iAgE2JXOjv/4OYk2InXjRuh0NAJW6q0qWU4cc40A046dcHgvP6olHSqa5
cC1bniCaVKNvFiZ1iCnaDx4Jb6wIr97NwTdGplsXTZne7QqDMErkLf3iZfO9E8ae0WRoU5T9DDb3
/e/pm5ebRxBQXqaBGPUOLkFV0EizOWhoxRSOmr4EBoQLhN98dd8/1Fvnp+qMiQFXYwgzDx55Myzl
Zp1IQ2WV62+LoJed19O8TYQh0/FQ3KW0dU9WI2PLXFz94OgHk7Xn+wr4o/o8cjXlw/tqBONPJEjU
7Who4elerECW2F68f4rrR3Sw9jyrynEQ/3Advr6aEgHxwqmtehcKDfEaODwjg9Qhk5AsKrEdTLFX
GJl8kCb21uOd7yqAZZkvDhqUg4csVJucMZdNPLktTpKcoLB1bt3gc4TgFbn9QCwIGznSNLwYWwPR
UYB33z/z9T755cwZupnrO4AuevAWFHlQ1UhzeJwRgEKCJ+1AbH4XNntIGjcRJR4F1/uHfPu00c5Y
ukETwzoUhjC2aqLOhhOk9xCpomVoj0NEK7twTRbJTXX0x8aa3YE12G8ySewbZB6uFkcfTW3fXEgg
7AJ0NjQe54dMtNpJkyqJqa9CEdrkw2vfjWWkpIuZK0g4UrIVuczuVyfHRiwNMbIyQx02zx88dd+6
/xDcEDrJkJqH/MGzj9UYyWjO2j0g6Oxi2mGZOMZ1ck/slO5XvXJcDd3N+x/DG2WF+eKYzoHrOI+R
TYYyFR4eYI/dCSDVyY01+WyR9u8f6c2zMymamLIywz6s0CQKwkXApNkZQr4jXfXEsaqtQhExI5mA
/RRYRvYB7O6t29o0qfxscO+otw5u62GEV2xqyJxqhSwNNTHBythx/olsP7aOPPJJBxzDz++f5y/w
8vUZaFEIrZ5ZzDCH3+dKyJ0CloePUdIIcAOx88m0y/5RoC7dE7BlMehrp3uUiWqgDXXvL3Gc+kKh
3OmL2HIbdXi0CNI8hvsZfu06yzyR+yI6ff9tvrWiWlSv5srgh3J7sJ5H2N9DqxqaXTKU8qrL/GxZ
6QfVyFuPJx5O7C7Bra6x6q8XVChMGrOBDPNyIwdzaTj7uF50d9GU6oPV5HnHdbiCAfVH4UfVqKLJ
e32oHCvXpHVtsxtl+Xsh1vY8GZH+rOvSVsOGRONQS3xNVBmS1rLwEgnWamNfdlKX7BbDKo8M2u6V
q6skGC5osDH9ggqMOm2TLWn0KbJl61tISMoH6pc3vn8WHEjgsAb5yhjMX79vPeodgIxLs5vJPOmL
4qspk+wx1h5wpw8eNB8dar0jXmwjZ7q4FaxGNnMJJjkxnM+Qw1YAm+Sva95fvr04L0u2HCSGhqwf
3F54sXr2RyrfdrNkaDPHa6RdZly8f5Q3TwnMtQHUgynWYf2jsVdIEkr7HSbNFRghLizkC0XOdBmc
/AcPyTfu5vXp/PNg6wL34vqR3gcYTudg8arvFkNx5RRIGBS9/SAp+I2V8tWBDu5lOvCkgGjcE3nd
BusqWRRGYCpt4ydikd26gE5fLR/dieurHnyDEPhQT0PgtEnoWE//xen1qhMbyCWbXd/M9yEmRahj
/bafSd9DIttCnF9u1nXLsWP5gyv7xlpEFWCrYKcp8Zh5vz503NaaI3qz3VlqU5wXZtTfoCX5N4rl
V0c5uP/N0clrmzPcJaFmElWA9aOJlYsy6j947Lx1OrSZ1y0Jk3vlcA/bG12Xa8R67uyU/AKUhPdD
rv315RuXJaCQZ0o///H6kjFOskFdNXyZ82pXY4h15Qn7zftfr7duRJqPMFmojjBbHhwkQy40mya3
RFZnpsftQcCzVmwK+a5rKm1TstECOQ9z/t84LEBgc9Vko78+uBMzvdLHHt4hcTDtrlKV6yjBMw8i
rivqIGowxAAne/+Qb31k64dlyjp7KcyWry+nvdSyDFOMZdhiOF1YoQeW6qPL+dFB1r9/8Q1LJ42p
NjSPXY7EbJPU86OYe+WDz+xZL3n4PX5W6tGXdNRfnijERKyMPKXZOYTd+g07DgoJpTuLWsW6z/re
vl6tVo9K6pBe07aFdN2LET9L94XS5LSEynmdOI2ceX2Tk7A+y+EVqnS3LU8Z9yBK+6bz9o90jCtu
k4hzozvNVpMQUIy177Z6c2h8kNiph+YpHhrpRMhpdNuV11nCcDbVbPp/sX1Fq/5bj4qMYNe58hor
tzdpoXyG3TkEUVsOQclm2mcan6B2ME4p0PPTTBv6wLC68KLX23ZTVmW/CUGzHYVOkuWoPEIG5e/f
GIf44nXnCXQCTsIqxGZzcHBnZLk+ymkldTtbqRl9RL245ySjBye09LO2WycsapEpqo+gvvTLcNJ8
apTEr806JJCZANaqGKHlqCvObVjV9nFknU6RYzBHJAfv/bf7xjNqRWTIbErRF/JQfH2LiTYxJwFE
ekfqoE9CXONGGKZcxBk/DvSXfCZ/joj+L39qPdZjWc1NHImu/cd//X5s/6F7ePUHBmFxN1/2T6Qp
PpF23v3jv/jN6Klcf/LP/uXvdPKP+GWU7qyoq+L7X3tNrudMPHWvzCb//LWf9DLcDipkb9A/bD10
XvAnvcxhS8Bm01qJ4zRz/+k2MX4DwEK4Bbu8NXOC3cwfZhP9N0op4pdWCAxADwIS/rgGFz+++ly+
H9fk9z+/NEv8ENG+XiLoH1t0VxWL5xQajtd3SVsTPpDMybKblhmoMZyW20HI83FsILdFXUD8vIjT
jUCl4DGYDu/zULEAltTWbThK/b05IpnsEee4Ed00UmI4nyDpcHp4PQNxP80T2xOhqLFCaeVmkJC4
SGlH2KKsXTpygkrHGq1yx2oIzFQKd5AYHhcy05nd0Do9x1gsXLO048t0dhYX2ELr19GsneNRORoB
TXvlpKcoOywglbk+XRrT4pxJM+YSc+qRDBWTSmTnyPRXihOAqWy5I2LW8aK1ZTUEYS+Fn+UFlWSE
Ca9z4yIeA3DVyITiIb+TkYxtcU7eTnKKOJNf3hVOzgtQ/lxHZnuHkHNm8dPtbRYuTJ6yRjvu5CRE
d9RVpwOwta0okhuESzMCWine6YkyoE/Um/MiVqoNcbrjPmzJVlSYB56rhiT5hgkbIpJVpuCpSoYz
mAqCluFZnDYQlU/SPNQ3k7xYews4BGMXlKX0+qzs2hhJRdiQUO6cTGpinPRsgEpyHW6MyllJqEo/
4Fg0Fc9yBKoWupQR4TT2uJHV2oTwUw3bOI8/OczrNxGixs1iNQ+m5CTXqGdaP2bdc7sigith97Eb
RR3CG9tUCOZdej55o6RhZGiBhQ7VkrMjuaRBQ6sm2/OUJsRdIg+w10eSufPqLI65Mo2GRqV28i2N
HqjP5pRsViTRAwtVGIxCas4qiHYP9qIMF07DOA3TXkfWkDmeNyJVPOSPvOQy3o/lUB+RnHHR2GO4
SeM6+QLyrf9kjvl0Wha4JEUTQ98Vx/UikGdETGgYpKcbR5sudWuG4cL/Top1btjZhM6xGd9YktoH
OfnpJ6ZO8tuUDdJGyU193yxztVmaAXrtRJPjS9hzf5uqkp6reHHX3MpdDZdsH3Vl6KI1r3xVmO0X
msIAfO1Wjpug04aVyjKPl2mClATHLCoakBRRFz3OrfQZloTxUHfzUziW510TVlfdGGrenM1w4E1r
2mpNkm2FiBskAyQVkDxboopIBqJ/e8SRqjGSai2Jb2SaN7zrNa3K4fuIujwL6rAIj5IUfvtC9Lhb
9S0M17ZJTpin1BdCnXg6S01TeQrD+CtyRpPArKbe73mvIQrYEJ7hMKbnVax3ex4tJq9NNHRIPuY3
hHvxPpui+W5ptBbZ7ZgMaK4ZrUs06I8rvYlvirxQUgQhUrylwUu3s5psnxsjQ5NJ+LdKCbAvKnyy
SN2a3htNfppGTYgKTFl8MRuo1pJyql26PQD65rDb5IpVnob1oKQ+puIC+XcZ5W5MLs+RtFgGlOpO
fDdylcg4vdCCSVt0v65nRpQEwHqEU0Oq6evI3mTt1B73CJQTvBSZQYOvJPZBLPGmrUHxWLbYg3Rv
jkwCUbC4q8tRDDLmqJRM7SiC5uM3o5lfKVr0CXrGdQNhfguS90yu9PRyQkmyNXuHhE/IIxvCrHKG
EA1cXAeOtRTXOxLcPluKvuZjd+pXp7Lg+hEpe5k4ABvrhD1ENBmgwjPzLjTWPNfCvjIj7NozKcwY
taMToSWnCxx8Ug9uCSrbK9jB/ZAgaQ+cmsWimk53NZmo/oI5GPlmWW86dKRHsGP0rUYkjhs3dnTk
mGgvdEd7NKp+zje5VClMt5P8WKaqvJBaTPxmNvRntqixDjrkbiHrH9GwSfnk9bUmBYVaVG4WoTkC
KJUdm89MAGbBgOGFMl2TWzVu5xYd1dBDDxjImxx7iEIyJmOjUO8zJ0vubdDhW2QT0XlkLOqVVNTm
/708l/+vqhdqAwNT53vFy9VD0ooHEb8qX37+3o/qhbgWG3GZpZM4hwqd0veP6oW4FpkuOX0qZt8Y
Bteu4R9eWaoXywLPZ63/YvmksPmjfNF+ozu2mjPZXyEKBgp0UK68V74Yz9OIF+ULgy5wlLpF3xr/
Kr0l9XX5AhCxNCoZUiZqgPX5AcU/EUi7uk8mOIg0R18HuLLwYF+fMK7Emy3y7xHaW4q1djPrGNqX
UkGdy+MZvhULWV5xW2qL2NMg9PQ2POkl9hN50d8MqUzxTlFQi/mRlfxozlGYhI1S+1XJMgUl/nsG
oS+tWHoR0dNynqiZ6q0+mJkfWreDc0Mu0ychWWiPcEyZ0+fJ6r4TEX8TJ6fW2AWNJB01tXrW4R9R
+v6iZhp0hAYXdECUwJhsW91zEm1mZevkaF+keo6wru20xi1VNQ598t+yS4ZIs+52s6p76WihQw2l
ZUOYbbzp88w6Yt/VGz5mEb5LXdwUl+E8DjeOEy7f5FBRvrHhE9d6TbAYdp20upONvPeR6efBorbp
1QCV1WcjJF/glyGVCUxRtFn0Pt/iIpnOksRqjiGbRhfWpAi/X4Y4kBE2b/moFL9p1Es6SCdOmp2k
8KLl+szUczTas4auq6NqMkD403+yEdCVPfgLx2D2MW3kZrrD2kAPRVVO9Na5LOV5ExomHLLGm6Lb
XLe/klLmGom4iKRv8XyjJ+Hejk2vBLaP2lLRz+M43iRdtYWQdpk047lcpC40hnslXUvM+URX7pu4
uJGjp6hxAh5RPp3Gqz56qksRhM5dKCH/t+m9RQAq7ALbW38nx+ax6KTdon+z9AEoPJz+qcWYgcSv
1zY9ktIYRUyy6FtrbEI/EtdFRCAyyuISzK0sPhWjtO+csHKtOb/oTQ3M7HLb4Mj2xn5XtX3lM0S9
y9nrHjET2KLU9BTlXInn4xRWZTh13/VWu9SWU4rfdoS6aKC0IgMh6VRcVNOmkpRtrqhnjQRnwrLR
lfZ3tiROSTiSPJjca3gIzhVCMcu9bSTUBCmaCDGlR5grKLai6TRtQ9daJOiE5HDsCGk+0yb7bLJb
ycVp/Zg5vea32qgGrWj3Umc9KuuXKyNdxHii1/dNAeomyUMg2e1OxNY2463wqD6iUkmQmiXuKHDQ
yOTi2J1Cgd2c5KF27VTS6awp+PEy/G0U+B5BSEGchxu0oaoHVelLmMR4vHtksUqSu7z0OTzz0Ack
X7og0/Lt4NjcHtKSBA0O49hleoJEz2i78Elu0JvTjTeDCfjFV9wLg7dMGvEBHTceIyEQjkmruYiy
7YBhHOuLEPPRbC+zF4a62IZcVU/uDe2qGjMSgxD0BlI0sPOviXaTQM99L/Q288DilMc64XnnSpYa
fCNaIIGRsHcCHt33DKU6O59eyzCK9SEIj4qSTGXfEyR6rgTR6HQbmjDxqQmYP4idWvKcBYBhH/Mh
alXm7BFap7j4TCwl+VSeiUpprkctBPm1dNPZxMjQHdAO+3IejUGVS82mbFsyhVIVFXuFD9FvBFFd
rm0ut5ba0pDRjfCCy9P5JnryzxmYlS1+2ZGkh1ztT4c5FUFGxeFleZSBnW2GoKBmczVSnDZrymvg
GOly3o754mdZGPtaKurTXm6f8E7IgdabMrneUrdReIceW4UWxyApJO047kEPqmeMzFpC1JuwjJCr
ohCL0LF8kcmOCpK+QmPWW05gatI+09XP2lQ0AGnH8EuJS5ALQYMygYZyE0qS8SAnc39qyrl52USm
Hiw5/rglxzhWGzOpRiQK79GBqB5uKYOcZ0U7R/1/omrk6WmFPoNAlPIbjazjvZPoy6llJKxgrdxf
lqosUo/VjlF0Fce2VypavunKyvgeEWHo5npHqz5xWl9rJiCPGAFc0KgGoTB+ve5lbJ0c3Z6wYD/V
a3pscllfKYAMj22tt04kdUzgoaW3Q1IsgayMki8GGKqTXJ90xJHxIFMCqY9SWNniOG4iooJNIiNq
JSKUHo5hf9TVin2c24vfiy6D9wc8OYfuU8qezlG55oXzhUyfeFdG2hMOcu3IdJzcU2COeto0ZIFe
ySUPLiX3tLysrpOIpAjUOwl2ldDYVQtS6r5rUd2jCeS50GlXtUWvXh8M+TQNDQ3vZn1Jn8NrGvII
s8hhdKBZHQGyM+JuCWOYM0e35WJKCN+xkBUtctEepyPBJWRvLcpO9A4WCzvK/BT9qaSo91I2c6pa
3yFVTsW2nnIk70b/1KWsI8YkuSVPhh0LABHxOCPZFp0nDmJ1U1gY1OJFYIyM6WHWQ3ZaETJ+1OPi
3GmT+rlzzoibrCA5ywIbRvWlDMf8tBqsK0KGfL0rT4gyKYNWxYlaW5a06YSt3MMC7gYvDfXlMTN7
Y3TBBIWyj4m3jjepKlCMR3m6zYWOan2Uyk2rleCsrCQEZzXWxA9s6jA0Od/Q6UDLTI5xIpZlPi7o
J0b7qbSLIybzXBCrK/i/YZozSWavedQTvuIy46T/gJ7Wb9KicNMBwUZn6pQSQ53B5Ko1t+abHLS1
Wj8q4QrKNmJTTclo6HAJI15t/R6RLC67UobEKspluHZqYNtzUjkb7HXpee8UmacuarWxul6jjzGS
h66i3D2ie1z4KISWaxHbhRXQaJLYMuEeNoDgL+ILGZTNhV0PeFTizmJ3HlmVWxisARXyumrKLhSz
6s8S1vtvdoUPRBTyOhomMklFC/zoTEAGxnisTrpCGLvWGRi92kvWIVBQeCxga0YmnfOUM0KSgMRD
np5arXI+lzxktdGrVAuwULOpG5kuFcEmZaWeU8sa53EdHUupNXmpoZ+JlcZfoWN3TSI56RGNm0mX
Pkczf5isutvFfar7Yx1fAMii5svz7DJJ6izouce+2Jl5KczmzFzazAdJLXkgXPAjD4O5y0v2mLR8
hP+iVH+jc3fQ3aXwhVxPbj3VOdK65xjFlwOEiA1+M1Uj1IcwvQKKebNE+VHhfCT7pbx/OQl8Pgw6
IFOB5Akk5lBqCjHWHJsJqWmpLt/iRjsaNPPur58JHU0UwlhcfwXegNhWM8mc610byttEwXVW18sF
Dfi/OPR7PpeXBzpodY5luUhFCMOCeJrPQNPOVrIE8SHe3zufAyFeJyVUWRWHSWJVpl1m7RvslXqG
V+b9A7312TwjWxBN8ckcSlqAuDYZs180akwVjueoU06Glkiq56P8pe7+36FIvezs/2P7VJ495E/t
c4P/Z8P/R4v/5x//Wv//xajglwHAz73kOh64wJbf3ZT/3g/9sUl9+4X+3EQBNhGEKEaK9PxxG8Hu
YMv8arbw/BafpxvvvWL2wBCk/0b4imr8xkwBoQaUjB///Od/ZHDMfv/rVfnC67+4Qv/qGrx/er+O
Wn59nVdv+LHsi24d0URxWbxsL6h0Av7MGR+8wIszpn9g6WCDIKS/ccYEwrBKqcS9kIq+/sMY+//J
FfjXsTi/z4cOOzN/+aNXf0MnhEZTVX6cKZ/1i49+vRCr8hrxyI+/ZhX6H3YhfnSa/uQNcXA9X9wQ
XAcWQQqLt6+D8ptNCA0D0N/vl/+p14HF/c98Mf71dVjngiYSCYc76/WNQIoDTwjikZ7/oUP2P+xG
+OfE9O9eAWQbKrnq/+pOQNK8immtHxfiL9wJf2IF/fmo8UScfXt+yMRP7YtJ9Yc/8Mca/OsL/L62
7r+x4ms/+6XPP7cOsX+88tPzaHz98z9e3STPy/+Lv/zjcfDy138/v1+P/OZ7+uN/7uIn4KkIU57P
dv79Xa7P9//+zw+TvX6+218ixH7eBO+9/nuQx7/50h+0xf/mq7+bkP43X/t9NcLffHH3oYnb//2/
speP89Xgs2okWHL+eYf9ex/o1QP72b75Dz8e4vaganizcHr/gG/d0T8roV/v8z8qnLd+7fV3eP2J
x+zpofnH/wEAAP//</cx:binary>
              </cx:geoCache>
            </cx:geography>
          </cx:layoutPr>
        </cx:series>
      </cx:plotAreaRegion>
    </cx:plotArea>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6828</xdr:colOff>
      <xdr:row>5</xdr:row>
      <xdr:rowOff>13655</xdr:rowOff>
    </xdr:from>
    <xdr:to>
      <xdr:col>1</xdr:col>
      <xdr:colOff>374459</xdr:colOff>
      <xdr:row>32</xdr:row>
      <xdr:rowOff>143387</xdr:rowOff>
    </xdr:to>
    <mc:AlternateContent xmlns:mc="http://schemas.openxmlformats.org/markup-compatibility/2006">
      <mc:Choice xmlns:a14="http://schemas.microsoft.com/office/drawing/2010/main" Requires="a14">
        <xdr:graphicFrame macro="">
          <xdr:nvGraphicFramePr>
            <xdr:cNvPr id="26" name="Name">
              <a:extLst>
                <a:ext uri="{FF2B5EF4-FFF2-40B4-BE49-F238E27FC236}">
                  <a16:creationId xmlns:a16="http://schemas.microsoft.com/office/drawing/2014/main" id="{C6247044-54E2-4EDC-B6ED-F9662D3D5E0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6828" y="1056392"/>
              <a:ext cx="1029368" cy="5002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610830</xdr:colOff>
      <xdr:row>0</xdr:row>
      <xdr:rowOff>48547</xdr:rowOff>
    </xdr:from>
    <xdr:to>
      <xdr:col>7</xdr:col>
      <xdr:colOff>419033</xdr:colOff>
      <xdr:row>4</xdr:row>
      <xdr:rowOff>124473</xdr:rowOff>
    </xdr:to>
    <xdr:grpSp>
      <xdr:nvGrpSpPr>
        <xdr:cNvPr id="33" name="Group 32">
          <a:extLst>
            <a:ext uri="{FF2B5EF4-FFF2-40B4-BE49-F238E27FC236}">
              <a16:creationId xmlns:a16="http://schemas.microsoft.com/office/drawing/2014/main" id="{B52DC701-4B19-40B5-85DF-98CB6F50FE7D}"/>
            </a:ext>
          </a:extLst>
        </xdr:cNvPr>
        <xdr:cNvGrpSpPr/>
      </xdr:nvGrpSpPr>
      <xdr:grpSpPr>
        <a:xfrm>
          <a:off x="2756462" y="48547"/>
          <a:ext cx="2054097" cy="938189"/>
          <a:chOff x="2869310" y="406400"/>
          <a:chExt cx="2128140" cy="1035050"/>
        </a:xfrm>
      </xdr:grpSpPr>
      <xdr:sp macro="" textlink="">
        <xdr:nvSpPr>
          <xdr:cNvPr id="8" name="Rectangle: Rounded Corners 7">
            <a:extLst>
              <a:ext uri="{FF2B5EF4-FFF2-40B4-BE49-F238E27FC236}">
                <a16:creationId xmlns:a16="http://schemas.microsoft.com/office/drawing/2014/main" id="{9622FEB3-AE5A-429C-9D1B-48A146333CE6}"/>
              </a:ext>
            </a:extLst>
          </xdr:cNvPr>
          <xdr:cNvSpPr/>
        </xdr:nvSpPr>
        <xdr:spPr>
          <a:xfrm>
            <a:off x="2869310" y="419100"/>
            <a:ext cx="2093461" cy="1022350"/>
          </a:xfrm>
          <a:prstGeom prst="round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52BAC59E-3419-4EED-A093-36FEB4D66033}"/>
              </a:ext>
            </a:extLst>
          </xdr:cNvPr>
          <xdr:cNvSpPr/>
        </xdr:nvSpPr>
        <xdr:spPr>
          <a:xfrm>
            <a:off x="3079750" y="406400"/>
            <a:ext cx="1917700" cy="1028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2" name="Straight Connector 11">
            <a:extLst>
              <a:ext uri="{FF2B5EF4-FFF2-40B4-BE49-F238E27FC236}">
                <a16:creationId xmlns:a16="http://schemas.microsoft.com/office/drawing/2014/main" id="{26580603-6A82-4B88-B7D7-D71EE4FE0920}"/>
              </a:ext>
            </a:extLst>
          </xdr:cNvPr>
          <xdr:cNvCxnSpPr/>
        </xdr:nvCxnSpPr>
        <xdr:spPr>
          <a:xfrm>
            <a:off x="3578214" y="482600"/>
            <a:ext cx="8028" cy="78740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pic>
        <xdr:nvPicPr>
          <xdr:cNvPr id="4" name="Graphic 3" descr="Speaker Phone">
            <a:extLst>
              <a:ext uri="{FF2B5EF4-FFF2-40B4-BE49-F238E27FC236}">
                <a16:creationId xmlns:a16="http://schemas.microsoft.com/office/drawing/2014/main" id="{4F56BD9E-8C92-49E6-807A-070DC0F4E0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054350" y="654050"/>
            <a:ext cx="565150" cy="565150"/>
          </a:xfrm>
          <a:prstGeom prst="rect">
            <a:avLst/>
          </a:prstGeom>
        </xdr:spPr>
      </xdr:pic>
      <xdr:sp macro="" textlink="Sheet2!C4">
        <xdr:nvSpPr>
          <xdr:cNvPr id="27" name="TextBox 26">
            <a:extLst>
              <a:ext uri="{FF2B5EF4-FFF2-40B4-BE49-F238E27FC236}">
                <a16:creationId xmlns:a16="http://schemas.microsoft.com/office/drawing/2014/main" id="{CA27F213-621F-485D-8D3A-B3A7717AFBBF}"/>
              </a:ext>
            </a:extLst>
          </xdr:cNvPr>
          <xdr:cNvSpPr txBox="1"/>
        </xdr:nvSpPr>
        <xdr:spPr>
          <a:xfrm>
            <a:off x="3632200" y="546100"/>
            <a:ext cx="1193800" cy="6350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CD7A49-D9BA-4B85-A64D-DB182612A383}" type="TxLink">
              <a:rPr lang="en-US" sz="1100" b="0" i="0" u="none" strike="noStrike">
                <a:solidFill>
                  <a:srgbClr val="000000"/>
                </a:solidFill>
                <a:latin typeface="Aptos Narrow"/>
              </a:rPr>
              <a:pPr/>
              <a:t>Sum of Total Calls:18300</a:t>
            </a:fld>
            <a:endParaRPr lang="en-US" sz="1100"/>
          </a:p>
        </xdr:txBody>
      </xdr:sp>
    </xdr:grpSp>
    <xdr:clientData/>
  </xdr:twoCellAnchor>
  <xdr:twoCellAnchor>
    <xdr:from>
      <xdr:col>10</xdr:col>
      <xdr:colOff>605003</xdr:colOff>
      <xdr:row>0</xdr:row>
      <xdr:rowOff>24307</xdr:rowOff>
    </xdr:from>
    <xdr:to>
      <xdr:col>14</xdr:col>
      <xdr:colOff>331953</xdr:colOff>
      <xdr:row>4</xdr:row>
      <xdr:rowOff>115050</xdr:rowOff>
    </xdr:to>
    <xdr:grpSp>
      <xdr:nvGrpSpPr>
        <xdr:cNvPr id="35" name="Group 34">
          <a:extLst>
            <a:ext uri="{FF2B5EF4-FFF2-40B4-BE49-F238E27FC236}">
              <a16:creationId xmlns:a16="http://schemas.microsoft.com/office/drawing/2014/main" id="{79D41EC3-64EA-4AA6-A1B2-95082B8F9365}"/>
            </a:ext>
          </a:extLst>
        </xdr:cNvPr>
        <xdr:cNvGrpSpPr/>
      </xdr:nvGrpSpPr>
      <xdr:grpSpPr>
        <a:xfrm>
          <a:off x="6981740" y="24307"/>
          <a:ext cx="2373897" cy="953006"/>
          <a:chOff x="7541684" y="378883"/>
          <a:chExt cx="1898650" cy="1028700"/>
        </a:xfrm>
      </xdr:grpSpPr>
      <xdr:grpSp>
        <xdr:nvGrpSpPr>
          <xdr:cNvPr id="17" name="Group 16">
            <a:extLst>
              <a:ext uri="{FF2B5EF4-FFF2-40B4-BE49-F238E27FC236}">
                <a16:creationId xmlns:a16="http://schemas.microsoft.com/office/drawing/2014/main" id="{F1881B2E-DF72-4964-93F5-EB3B27F519EE}"/>
              </a:ext>
            </a:extLst>
          </xdr:cNvPr>
          <xdr:cNvGrpSpPr/>
        </xdr:nvGrpSpPr>
        <xdr:grpSpPr>
          <a:xfrm>
            <a:off x="7541684" y="378883"/>
            <a:ext cx="1898650" cy="1028700"/>
            <a:chOff x="3441700" y="349250"/>
            <a:chExt cx="1898650" cy="1028700"/>
          </a:xfrm>
        </xdr:grpSpPr>
        <xdr:sp macro="" textlink="">
          <xdr:nvSpPr>
            <xdr:cNvPr id="18" name="Rectangle: Rounded Corners 17">
              <a:extLst>
                <a:ext uri="{FF2B5EF4-FFF2-40B4-BE49-F238E27FC236}">
                  <a16:creationId xmlns:a16="http://schemas.microsoft.com/office/drawing/2014/main" id="{162E6A64-25CF-4F4D-9C6E-49EFBC9C93E4}"/>
                </a:ext>
              </a:extLst>
            </xdr:cNvPr>
            <xdr:cNvSpPr/>
          </xdr:nvSpPr>
          <xdr:spPr>
            <a:xfrm>
              <a:off x="3441700" y="355600"/>
              <a:ext cx="1866900" cy="1022350"/>
            </a:xfrm>
            <a:prstGeom prst="round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D211B189-C337-476C-AFBD-BDF886FE86F0}"/>
                </a:ext>
              </a:extLst>
            </xdr:cNvPr>
            <xdr:cNvSpPr/>
          </xdr:nvSpPr>
          <xdr:spPr>
            <a:xfrm>
              <a:off x="3663950" y="349250"/>
              <a:ext cx="1676400" cy="1028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0" name="Straight Connector 19">
              <a:extLst>
                <a:ext uri="{FF2B5EF4-FFF2-40B4-BE49-F238E27FC236}">
                  <a16:creationId xmlns:a16="http://schemas.microsoft.com/office/drawing/2014/main" id="{02EFE2BA-0D57-433A-AB86-8C7E7A5C1D55}"/>
                </a:ext>
              </a:extLst>
            </xdr:cNvPr>
            <xdr:cNvCxnSpPr/>
          </xdr:nvCxnSpPr>
          <xdr:spPr>
            <a:xfrm>
              <a:off x="4222750" y="463550"/>
              <a:ext cx="6350" cy="78740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grpSp>
      <xdr:pic>
        <xdr:nvPicPr>
          <xdr:cNvPr id="23" name="Graphic 22" descr="Trophy">
            <a:extLst>
              <a:ext uri="{FF2B5EF4-FFF2-40B4-BE49-F238E27FC236}">
                <a16:creationId xmlns:a16="http://schemas.microsoft.com/office/drawing/2014/main" id="{EEE6A416-DA20-4E4D-8AF0-43C7689B595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78750" y="666750"/>
            <a:ext cx="476250" cy="476250"/>
          </a:xfrm>
          <a:prstGeom prst="rect">
            <a:avLst/>
          </a:prstGeom>
        </xdr:spPr>
      </xdr:pic>
      <xdr:sp macro="" textlink="Sheet2!C6">
        <xdr:nvSpPr>
          <xdr:cNvPr id="31" name="TextBox 30">
            <a:extLst>
              <a:ext uri="{FF2B5EF4-FFF2-40B4-BE49-F238E27FC236}">
                <a16:creationId xmlns:a16="http://schemas.microsoft.com/office/drawing/2014/main" id="{1C5EEB60-78B1-436B-9F92-548DBA6AE810}"/>
              </a:ext>
            </a:extLst>
          </xdr:cNvPr>
          <xdr:cNvSpPr txBox="1"/>
        </xdr:nvSpPr>
        <xdr:spPr>
          <a:xfrm>
            <a:off x="8379884" y="550333"/>
            <a:ext cx="984250" cy="6858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1BE08-2A05-429D-92A8-CE9062CAA0BE}" type="TxLink">
              <a:rPr lang="en-US" sz="1100" b="0" i="0" u="none" strike="noStrike">
                <a:solidFill>
                  <a:srgbClr val="000000"/>
                </a:solidFill>
                <a:latin typeface="Aptos Narrow"/>
              </a:rPr>
              <a:pPr/>
              <a:t>Sum of Deals Closed:706194.89</a:t>
            </a:fld>
            <a:endParaRPr lang="en-US" sz="1100"/>
          </a:p>
        </xdr:txBody>
      </xdr:sp>
    </xdr:grpSp>
    <xdr:clientData/>
  </xdr:twoCellAnchor>
  <xdr:twoCellAnchor>
    <xdr:from>
      <xdr:col>7</xdr:col>
      <xdr:colOff>500308</xdr:colOff>
      <xdr:row>0</xdr:row>
      <xdr:rowOff>41923</xdr:rowOff>
    </xdr:from>
    <xdr:to>
      <xdr:col>10</xdr:col>
      <xdr:colOff>504542</xdr:colOff>
      <xdr:row>4</xdr:row>
      <xdr:rowOff>90333</xdr:rowOff>
    </xdr:to>
    <xdr:grpSp>
      <xdr:nvGrpSpPr>
        <xdr:cNvPr id="45" name="Group 44">
          <a:extLst>
            <a:ext uri="{FF2B5EF4-FFF2-40B4-BE49-F238E27FC236}">
              <a16:creationId xmlns:a16="http://schemas.microsoft.com/office/drawing/2014/main" id="{B7841086-C123-4B8A-8E31-4985B73B825F}"/>
            </a:ext>
          </a:extLst>
        </xdr:cNvPr>
        <xdr:cNvGrpSpPr/>
      </xdr:nvGrpSpPr>
      <xdr:grpSpPr>
        <a:xfrm>
          <a:off x="4891834" y="41923"/>
          <a:ext cx="1989445" cy="910673"/>
          <a:chOff x="4523317" y="364066"/>
          <a:chExt cx="1898650" cy="1028700"/>
        </a:xfrm>
      </xdr:grpSpPr>
      <xdr:grpSp>
        <xdr:nvGrpSpPr>
          <xdr:cNvPr id="34" name="Group 33">
            <a:extLst>
              <a:ext uri="{FF2B5EF4-FFF2-40B4-BE49-F238E27FC236}">
                <a16:creationId xmlns:a16="http://schemas.microsoft.com/office/drawing/2014/main" id="{05E7E111-386A-4506-ABA6-1D510418AFE8}"/>
              </a:ext>
            </a:extLst>
          </xdr:cNvPr>
          <xdr:cNvGrpSpPr/>
        </xdr:nvGrpSpPr>
        <xdr:grpSpPr>
          <a:xfrm>
            <a:off x="4523317" y="364066"/>
            <a:ext cx="1898650" cy="1028700"/>
            <a:chOff x="5329767" y="383116"/>
            <a:chExt cx="1898650" cy="1028700"/>
          </a:xfrm>
        </xdr:grpSpPr>
        <xdr:grpSp>
          <xdr:nvGrpSpPr>
            <xdr:cNvPr id="6" name="Group 5">
              <a:extLst>
                <a:ext uri="{FF2B5EF4-FFF2-40B4-BE49-F238E27FC236}">
                  <a16:creationId xmlns:a16="http://schemas.microsoft.com/office/drawing/2014/main" id="{B7AA96C0-90C0-49E4-BB0D-558B77AA1802}"/>
                </a:ext>
              </a:extLst>
            </xdr:cNvPr>
            <xdr:cNvGrpSpPr/>
          </xdr:nvGrpSpPr>
          <xdr:grpSpPr>
            <a:xfrm>
              <a:off x="5329767" y="383116"/>
              <a:ext cx="1898650" cy="1028700"/>
              <a:chOff x="3441700" y="349250"/>
              <a:chExt cx="1898650" cy="1028700"/>
            </a:xfrm>
          </xdr:grpSpPr>
          <xdr:sp macro="" textlink="">
            <xdr:nvSpPr>
              <xdr:cNvPr id="7" name="Rectangle: Rounded Corners 6">
                <a:extLst>
                  <a:ext uri="{FF2B5EF4-FFF2-40B4-BE49-F238E27FC236}">
                    <a16:creationId xmlns:a16="http://schemas.microsoft.com/office/drawing/2014/main" id="{52E87CAD-37F9-4620-82DC-62B37DC37278}"/>
                  </a:ext>
                </a:extLst>
              </xdr:cNvPr>
              <xdr:cNvSpPr/>
            </xdr:nvSpPr>
            <xdr:spPr>
              <a:xfrm>
                <a:off x="3441700" y="355600"/>
                <a:ext cx="1866900" cy="1022350"/>
              </a:xfrm>
              <a:prstGeom prst="round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7D709966-50BA-413B-81A1-AD0027AE4D9A}"/>
                  </a:ext>
                </a:extLst>
              </xdr:cNvPr>
              <xdr:cNvSpPr/>
            </xdr:nvSpPr>
            <xdr:spPr>
              <a:xfrm>
                <a:off x="3663950" y="349250"/>
                <a:ext cx="1676400" cy="1028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1" name="Straight Connector 10">
                <a:extLst>
                  <a:ext uri="{FF2B5EF4-FFF2-40B4-BE49-F238E27FC236}">
                    <a16:creationId xmlns:a16="http://schemas.microsoft.com/office/drawing/2014/main" id="{FF691A60-FFD4-466F-A722-480B9DB591A1}"/>
                  </a:ext>
                </a:extLst>
              </xdr:cNvPr>
              <xdr:cNvCxnSpPr/>
            </xdr:nvCxnSpPr>
            <xdr:spPr>
              <a:xfrm>
                <a:off x="4222750" y="463550"/>
                <a:ext cx="6350" cy="78740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grpSp>
        <xdr:sp macro="" textlink="Sheet2!C5">
          <xdr:nvSpPr>
            <xdr:cNvPr id="30" name="TextBox 29">
              <a:extLst>
                <a:ext uri="{FF2B5EF4-FFF2-40B4-BE49-F238E27FC236}">
                  <a16:creationId xmlns:a16="http://schemas.microsoft.com/office/drawing/2014/main" id="{9EB8FDD9-5971-4E3E-B58B-BB3C7AE6390F}"/>
                </a:ext>
              </a:extLst>
            </xdr:cNvPr>
            <xdr:cNvSpPr txBox="1"/>
          </xdr:nvSpPr>
          <xdr:spPr>
            <a:xfrm>
              <a:off x="6161616" y="541866"/>
              <a:ext cx="1007534" cy="65193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92B84E-AF0B-42F8-BAE7-C84BDF2785B1}" type="TxLink">
                <a:rPr lang="en-US" sz="1100" b="0" i="0" u="none" strike="noStrike">
                  <a:solidFill>
                    <a:srgbClr val="000000"/>
                  </a:solidFill>
                  <a:latin typeface="Aptos Narrow"/>
                </a:rPr>
                <a:pPr/>
                <a:t>Sum of Calls Reached:3619</a:t>
              </a:fld>
              <a:endParaRPr lang="en-US" sz="1100"/>
            </a:p>
          </xdr:txBody>
        </xdr:sp>
      </xdr:grpSp>
      <xdr:pic>
        <xdr:nvPicPr>
          <xdr:cNvPr id="38" name="Graphic 37" descr="Target Audience">
            <a:extLst>
              <a:ext uri="{FF2B5EF4-FFF2-40B4-BE49-F238E27FC236}">
                <a16:creationId xmlns:a16="http://schemas.microsoft.com/office/drawing/2014/main" id="{C44D24B6-84D2-4812-A99F-64181797415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800600" y="553976"/>
            <a:ext cx="495300" cy="563625"/>
          </a:xfrm>
          <a:prstGeom prst="rect">
            <a:avLst/>
          </a:prstGeom>
        </xdr:spPr>
      </xdr:pic>
    </xdr:grpSp>
    <xdr:clientData/>
  </xdr:twoCellAnchor>
  <xdr:twoCellAnchor>
    <xdr:from>
      <xdr:col>14</xdr:col>
      <xdr:colOff>446072</xdr:colOff>
      <xdr:row>0</xdr:row>
      <xdr:rowOff>0</xdr:rowOff>
    </xdr:from>
    <xdr:to>
      <xdr:col>17</xdr:col>
      <xdr:colOff>496872</xdr:colOff>
      <xdr:row>4</xdr:row>
      <xdr:rowOff>120376</xdr:rowOff>
    </xdr:to>
    <xdr:grpSp>
      <xdr:nvGrpSpPr>
        <xdr:cNvPr id="41" name="Group 40">
          <a:extLst>
            <a:ext uri="{FF2B5EF4-FFF2-40B4-BE49-F238E27FC236}">
              <a16:creationId xmlns:a16="http://schemas.microsoft.com/office/drawing/2014/main" id="{540EC7DE-D572-428E-AA47-7632B09DCDA7}"/>
            </a:ext>
          </a:extLst>
        </xdr:cNvPr>
        <xdr:cNvGrpSpPr/>
      </xdr:nvGrpSpPr>
      <xdr:grpSpPr>
        <a:xfrm>
          <a:off x="9469756" y="0"/>
          <a:ext cx="2036011" cy="982639"/>
          <a:chOff x="9753600" y="387350"/>
          <a:chExt cx="1898650" cy="1028700"/>
        </a:xfrm>
      </xdr:grpSpPr>
      <xdr:grpSp>
        <xdr:nvGrpSpPr>
          <xdr:cNvPr id="36" name="Group 35">
            <a:extLst>
              <a:ext uri="{FF2B5EF4-FFF2-40B4-BE49-F238E27FC236}">
                <a16:creationId xmlns:a16="http://schemas.microsoft.com/office/drawing/2014/main" id="{408C5BF3-1247-471D-BF6E-2DF4C09475DC}"/>
              </a:ext>
            </a:extLst>
          </xdr:cNvPr>
          <xdr:cNvGrpSpPr/>
        </xdr:nvGrpSpPr>
        <xdr:grpSpPr>
          <a:xfrm>
            <a:off x="9753600" y="387350"/>
            <a:ext cx="1898650" cy="1028700"/>
            <a:chOff x="9753600" y="387350"/>
            <a:chExt cx="1898650" cy="1028700"/>
          </a:xfrm>
        </xdr:grpSpPr>
        <xdr:grpSp>
          <xdr:nvGrpSpPr>
            <xdr:cNvPr id="13" name="Group 12">
              <a:extLst>
                <a:ext uri="{FF2B5EF4-FFF2-40B4-BE49-F238E27FC236}">
                  <a16:creationId xmlns:a16="http://schemas.microsoft.com/office/drawing/2014/main" id="{EEBF53BC-C7CF-4B1E-80EF-A650B1468657}"/>
                </a:ext>
              </a:extLst>
            </xdr:cNvPr>
            <xdr:cNvGrpSpPr/>
          </xdr:nvGrpSpPr>
          <xdr:grpSpPr>
            <a:xfrm>
              <a:off x="9753600" y="387350"/>
              <a:ext cx="1898650" cy="1028700"/>
              <a:chOff x="3441700" y="349250"/>
              <a:chExt cx="1898650" cy="1028700"/>
            </a:xfrm>
          </xdr:grpSpPr>
          <xdr:sp macro="" textlink="">
            <xdr:nvSpPr>
              <xdr:cNvPr id="14" name="Rectangle: Rounded Corners 13">
                <a:extLst>
                  <a:ext uri="{FF2B5EF4-FFF2-40B4-BE49-F238E27FC236}">
                    <a16:creationId xmlns:a16="http://schemas.microsoft.com/office/drawing/2014/main" id="{4786D972-57A1-4FDB-B654-4207910A78FD}"/>
                  </a:ext>
                </a:extLst>
              </xdr:cNvPr>
              <xdr:cNvSpPr/>
            </xdr:nvSpPr>
            <xdr:spPr>
              <a:xfrm>
                <a:off x="3441700" y="355600"/>
                <a:ext cx="1866900" cy="1022350"/>
              </a:xfrm>
              <a:prstGeom prst="round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917C3246-CA23-492E-A9FB-A994425285DE}"/>
                  </a:ext>
                </a:extLst>
              </xdr:cNvPr>
              <xdr:cNvSpPr/>
            </xdr:nvSpPr>
            <xdr:spPr>
              <a:xfrm>
                <a:off x="3663950" y="349250"/>
                <a:ext cx="1676400" cy="1028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6" name="Straight Connector 15">
                <a:extLst>
                  <a:ext uri="{FF2B5EF4-FFF2-40B4-BE49-F238E27FC236}">
                    <a16:creationId xmlns:a16="http://schemas.microsoft.com/office/drawing/2014/main" id="{96B0AE98-F324-4135-AA5D-854AB54CA6C0}"/>
                  </a:ext>
                </a:extLst>
              </xdr:cNvPr>
              <xdr:cNvCxnSpPr/>
            </xdr:nvCxnSpPr>
            <xdr:spPr>
              <a:xfrm>
                <a:off x="4222750" y="463550"/>
                <a:ext cx="6350" cy="78740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grpSp>
        <xdr:sp macro="" textlink="Sheet2!C7">
          <xdr:nvSpPr>
            <xdr:cNvPr id="32" name="TextBox 31">
              <a:extLst>
                <a:ext uri="{FF2B5EF4-FFF2-40B4-BE49-F238E27FC236}">
                  <a16:creationId xmlns:a16="http://schemas.microsoft.com/office/drawing/2014/main" id="{516BA46E-CDBE-4A2F-963B-3D28630773E1}"/>
                </a:ext>
              </a:extLst>
            </xdr:cNvPr>
            <xdr:cNvSpPr txBox="1"/>
          </xdr:nvSpPr>
          <xdr:spPr>
            <a:xfrm>
              <a:off x="10591800" y="546100"/>
              <a:ext cx="984250" cy="6858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3152DD-E098-4D01-9F76-618FCE0E81DB}" type="TxLink">
                <a:rPr lang="en-US" sz="1100" b="0" i="0" u="none" strike="noStrike">
                  <a:solidFill>
                    <a:srgbClr val="000000"/>
                  </a:solidFill>
                  <a:latin typeface="Aptos Narrow"/>
                </a:rPr>
                <a:pPr/>
                <a:t>Sum of Deal Value ($):1309</a:t>
              </a:fld>
              <a:endParaRPr lang="en-US" sz="1100"/>
            </a:p>
          </xdr:txBody>
        </xdr:sp>
      </xdr:grpSp>
      <xdr:pic>
        <xdr:nvPicPr>
          <xdr:cNvPr id="40" name="Graphic 39" descr="Bank">
            <a:extLst>
              <a:ext uri="{FF2B5EF4-FFF2-40B4-BE49-F238E27FC236}">
                <a16:creationId xmlns:a16="http://schemas.microsoft.com/office/drawing/2014/main" id="{3B30D7A7-3961-4A9C-81A9-0CD84DD73CC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007600" y="666750"/>
            <a:ext cx="533400" cy="533400"/>
          </a:xfrm>
          <a:prstGeom prst="rect">
            <a:avLst/>
          </a:prstGeom>
        </xdr:spPr>
      </xdr:pic>
    </xdr:grpSp>
    <xdr:clientData/>
  </xdr:twoCellAnchor>
  <xdr:twoCellAnchor>
    <xdr:from>
      <xdr:col>7</xdr:col>
      <xdr:colOff>61451</xdr:colOff>
      <xdr:row>4</xdr:row>
      <xdr:rowOff>149353</xdr:rowOff>
    </xdr:from>
    <xdr:to>
      <xdr:col>13</xdr:col>
      <xdr:colOff>47795</xdr:colOff>
      <xdr:row>32</xdr:row>
      <xdr:rowOff>156037</xdr:rowOff>
    </xdr:to>
    <xdr:graphicFrame macro="">
      <xdr:nvGraphicFramePr>
        <xdr:cNvPr id="43" name="Chart 42">
          <a:extLst>
            <a:ext uri="{FF2B5EF4-FFF2-40B4-BE49-F238E27FC236}">
              <a16:creationId xmlns:a16="http://schemas.microsoft.com/office/drawing/2014/main" id="{92AB7085-3491-4DF9-8011-8248CDA7F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81937</xdr:colOff>
      <xdr:row>4</xdr:row>
      <xdr:rowOff>141856</xdr:rowOff>
    </xdr:from>
    <xdr:to>
      <xdr:col>18</xdr:col>
      <xdr:colOff>267771</xdr:colOff>
      <xdr:row>32</xdr:row>
      <xdr:rowOff>135507</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37651D2A-1603-42AA-9B5F-3B742626E5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551154" y="991073"/>
              <a:ext cx="3475593" cy="49206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9.720104513886" createdVersion="6" refreshedVersion="6" minRefreshableVersion="3" recordCount="312" xr:uid="{56E7620B-4873-4385-B106-79B19874E500}">
  <cacheSource type="worksheet">
    <worksheetSource name="SalesData3"/>
  </cacheSource>
  <cacheFields count="12">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1" base="2">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ount="19">
        <n v="12"/>
        <n v="14"/>
        <n v="6"/>
        <n v="16"/>
        <n v="5"/>
        <n v="19"/>
        <n v="7"/>
        <n v="21"/>
        <n v="13"/>
        <n v="8"/>
        <n v="17"/>
        <n v="9"/>
        <n v="10"/>
        <n v="4"/>
        <n v="20"/>
        <n v="15"/>
        <n v="11"/>
        <n v="18"/>
        <n v="22"/>
      </sharedItems>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Months" numFmtId="0" databaseField="0">
      <fieldGroup base="2">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948969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74"/>
    <x v="0"/>
    <n v="330.42"/>
    <n v="7"/>
    <n v="0.58333333333333337"/>
    <n v="4276.3100000000004"/>
    <n v="3"/>
    <n v="2.9500000000000002E-2"/>
  </r>
  <r>
    <x v="1"/>
    <x v="0"/>
    <x v="0"/>
    <n v="78"/>
    <x v="0"/>
    <n v="377.5"/>
    <n v="4"/>
    <n v="0.33333333333333331"/>
    <n v="3880.98"/>
    <n v="2"/>
    <n v="4.3400000000000001E-2"/>
  </r>
  <r>
    <x v="2"/>
    <x v="0"/>
    <x v="0"/>
    <n v="47"/>
    <x v="1"/>
    <n v="418.92"/>
    <n v="2"/>
    <n v="0.14285714285714285"/>
    <n v="3716"/>
    <n v="1"/>
    <n v="4.3899999999999995E-2"/>
  </r>
  <r>
    <x v="3"/>
    <x v="0"/>
    <x v="0"/>
    <n v="24"/>
    <x v="2"/>
    <n v="76.930000000000007"/>
    <n v="4"/>
    <n v="0.66666666666666663"/>
    <n v="1552.35"/>
    <n v="3"/>
    <n v="3.0800000000000001E-2"/>
  </r>
  <r>
    <x v="4"/>
    <x v="0"/>
    <x v="0"/>
    <n v="81"/>
    <x v="3"/>
    <n v="516.23"/>
    <n v="5"/>
    <n v="0.3125"/>
    <n v="1030.68"/>
    <n v="2"/>
    <n v="4.1100000000000005E-2"/>
  </r>
  <r>
    <x v="5"/>
    <x v="0"/>
    <x v="0"/>
    <n v="59"/>
    <x v="4"/>
    <n v="520.05999999999995"/>
    <n v="3"/>
    <n v="0.6"/>
    <n v="3546.72"/>
    <n v="1"/>
    <n v="1.2699999999999999E-2"/>
  </r>
  <r>
    <x v="6"/>
    <x v="0"/>
    <x v="0"/>
    <n v="68"/>
    <x v="5"/>
    <n v="290.39"/>
    <n v="3"/>
    <n v="0.15789473684210525"/>
    <n v="2472.2399999999998"/>
    <n v="3"/>
    <n v="9.5399999999999985E-2"/>
  </r>
  <r>
    <x v="7"/>
    <x v="0"/>
    <x v="0"/>
    <n v="60"/>
    <x v="6"/>
    <n v="251.7"/>
    <n v="5"/>
    <n v="0.7142857142857143"/>
    <n v="3956.69"/>
    <n v="2"/>
    <n v="4.1100000000000005E-2"/>
  </r>
  <r>
    <x v="8"/>
    <x v="0"/>
    <x v="0"/>
    <n v="34"/>
    <x v="7"/>
    <n v="362.62"/>
    <n v="9"/>
    <n v="0.42857142857142855"/>
    <n v="1140.08"/>
    <n v="1"/>
    <n v="5.4600000000000003E-2"/>
  </r>
  <r>
    <x v="9"/>
    <x v="0"/>
    <x v="0"/>
    <n v="59"/>
    <x v="8"/>
    <n v="307.49"/>
    <n v="10"/>
    <n v="0.76923076923076927"/>
    <n v="979.09"/>
    <n v="3"/>
    <n v="3.27E-2"/>
  </r>
  <r>
    <x v="10"/>
    <x v="0"/>
    <x v="0"/>
    <n v="18"/>
    <x v="9"/>
    <n v="206.81"/>
    <n v="7"/>
    <n v="0.875"/>
    <n v="720.56"/>
    <n v="2"/>
    <n v="7.8899999999999998E-2"/>
  </r>
  <r>
    <x v="11"/>
    <x v="0"/>
    <x v="0"/>
    <n v="36"/>
    <x v="2"/>
    <n v="547.6"/>
    <n v="5"/>
    <n v="0.83333333333333337"/>
    <n v="3463.18"/>
    <n v="1"/>
    <n v="3.7599999999999995E-2"/>
  </r>
  <r>
    <x v="12"/>
    <x v="0"/>
    <x v="0"/>
    <n v="67"/>
    <x v="10"/>
    <n v="552.54999999999995"/>
    <n v="2"/>
    <n v="0.11764705882352941"/>
    <n v="330.12"/>
    <n v="1"/>
    <n v="3.7200000000000004E-2"/>
  </r>
  <r>
    <x v="13"/>
    <x v="0"/>
    <x v="0"/>
    <n v="36"/>
    <x v="11"/>
    <n v="216.03"/>
    <n v="2"/>
    <n v="0.22222222222222221"/>
    <n v="4072.07"/>
    <n v="3"/>
    <n v="4.1200000000000001E-2"/>
  </r>
  <r>
    <x v="14"/>
    <x v="0"/>
    <x v="0"/>
    <n v="54"/>
    <x v="12"/>
    <n v="208.23"/>
    <n v="3"/>
    <n v="0.3"/>
    <n v="645.83000000000004"/>
    <n v="2"/>
    <n v="2.7999999999999997E-2"/>
  </r>
  <r>
    <x v="15"/>
    <x v="0"/>
    <x v="0"/>
    <n v="82"/>
    <x v="13"/>
    <n v="180.06"/>
    <n v="4"/>
    <n v="1"/>
    <n v="1207.17"/>
    <n v="1"/>
    <n v="8.4199999999999997E-2"/>
  </r>
  <r>
    <x v="16"/>
    <x v="0"/>
    <x v="0"/>
    <n v="81"/>
    <x v="6"/>
    <n v="82.43"/>
    <n v="7"/>
    <n v="1"/>
    <n v="3463.96"/>
    <n v="3"/>
    <n v="8.4900000000000003E-2"/>
  </r>
  <r>
    <x v="17"/>
    <x v="0"/>
    <x v="0"/>
    <n v="31"/>
    <x v="10"/>
    <n v="476.95"/>
    <n v="7"/>
    <n v="0.41176470588235292"/>
    <n v="3945.43"/>
    <n v="2"/>
    <n v="3.6000000000000004E-2"/>
  </r>
  <r>
    <x v="18"/>
    <x v="0"/>
    <x v="0"/>
    <n v="92"/>
    <x v="14"/>
    <n v="161.41999999999999"/>
    <n v="4"/>
    <n v="0.2"/>
    <n v="425.41"/>
    <n v="1"/>
    <n v="0.1045"/>
  </r>
  <r>
    <x v="19"/>
    <x v="0"/>
    <x v="0"/>
    <n v="73"/>
    <x v="0"/>
    <n v="507.45"/>
    <n v="0"/>
    <n v="0"/>
    <n v="1123.8399999999999"/>
    <n v="3"/>
    <n v="8.9999999999999998E-4"/>
  </r>
  <r>
    <x v="20"/>
    <x v="0"/>
    <x v="0"/>
    <n v="25"/>
    <x v="1"/>
    <n v="279.95"/>
    <n v="2"/>
    <n v="0.14285714285714285"/>
    <n v="1432.23"/>
    <n v="2"/>
    <n v="5.1699999999999996E-2"/>
  </r>
  <r>
    <x v="21"/>
    <x v="0"/>
    <x v="0"/>
    <n v="96"/>
    <x v="2"/>
    <n v="532.83000000000004"/>
    <n v="1"/>
    <n v="0.16666666666666666"/>
    <n v="3173.13"/>
    <n v="1"/>
    <n v="2.8300000000000002E-2"/>
  </r>
  <r>
    <x v="22"/>
    <x v="0"/>
    <x v="0"/>
    <n v="63"/>
    <x v="9"/>
    <n v="170.49"/>
    <n v="7"/>
    <n v="0.875"/>
    <n v="526.12"/>
    <n v="3"/>
    <n v="8.3499999999999991E-2"/>
  </r>
  <r>
    <x v="23"/>
    <x v="1"/>
    <x v="0"/>
    <n v="92"/>
    <x v="8"/>
    <n v="422.39"/>
    <n v="1"/>
    <n v="7.6923076923076927E-2"/>
    <n v="2695.84"/>
    <n v="2"/>
    <n v="2.46E-2"/>
  </r>
  <r>
    <x v="24"/>
    <x v="1"/>
    <x v="0"/>
    <n v="38"/>
    <x v="12"/>
    <n v="514.25"/>
    <n v="4"/>
    <n v="0.4"/>
    <n v="243.62"/>
    <n v="1"/>
    <n v="6.4399999999999999E-2"/>
  </r>
  <r>
    <x v="25"/>
    <x v="1"/>
    <x v="0"/>
    <n v="43"/>
    <x v="15"/>
    <n v="363.48"/>
    <n v="7"/>
    <n v="0.46666666666666667"/>
    <n v="3843.52"/>
    <n v="3"/>
    <n v="8.3400000000000002E-2"/>
  </r>
  <r>
    <x v="0"/>
    <x v="1"/>
    <x v="1"/>
    <n v="62"/>
    <x v="15"/>
    <n v="361.38"/>
    <n v="6"/>
    <n v="0.4"/>
    <n v="4195.1400000000003"/>
    <n v="2"/>
    <n v="2.75E-2"/>
  </r>
  <r>
    <x v="1"/>
    <x v="1"/>
    <x v="1"/>
    <n v="81"/>
    <x v="1"/>
    <n v="362.96"/>
    <n v="5"/>
    <n v="0.35714285714285715"/>
    <n v="3620.19"/>
    <n v="1"/>
    <n v="4.0800000000000003E-2"/>
  </r>
  <r>
    <x v="2"/>
    <x v="1"/>
    <x v="1"/>
    <n v="52"/>
    <x v="1"/>
    <n v="382.59"/>
    <n v="3"/>
    <n v="0.21428571428571427"/>
    <n v="3394.39"/>
    <n v="3"/>
    <n v="4.5599999999999995E-2"/>
  </r>
  <r>
    <x v="3"/>
    <x v="1"/>
    <x v="1"/>
    <n v="22"/>
    <x v="6"/>
    <n v="79.459999999999994"/>
    <n v="3"/>
    <n v="0.42857142857142855"/>
    <n v="1638.74"/>
    <n v="2"/>
    <n v="3.04E-2"/>
  </r>
  <r>
    <x v="4"/>
    <x v="1"/>
    <x v="1"/>
    <n v="93"/>
    <x v="16"/>
    <n v="446.3"/>
    <n v="5"/>
    <n v="0.45454545454545453"/>
    <n v="1057.1400000000001"/>
    <n v="1"/>
    <n v="3.6900000000000002E-2"/>
  </r>
  <r>
    <x v="5"/>
    <x v="1"/>
    <x v="1"/>
    <n v="65"/>
    <x v="6"/>
    <n v="461.67"/>
    <n v="2"/>
    <n v="0.2857142857142857"/>
    <n v="3486.23"/>
    <n v="3"/>
    <n v="1.1200000000000002E-2"/>
  </r>
  <r>
    <x v="6"/>
    <x v="1"/>
    <x v="1"/>
    <n v="90"/>
    <x v="14"/>
    <n v="328.63"/>
    <n v="3"/>
    <n v="0.15"/>
    <n v="2662.44"/>
    <n v="2"/>
    <n v="0.10640000000000001"/>
  </r>
  <r>
    <x v="7"/>
    <x v="1"/>
    <x v="1"/>
    <n v="48"/>
    <x v="6"/>
    <n v="247.66"/>
    <n v="6"/>
    <n v="0.8571428571428571"/>
    <n v="4335.84"/>
    <n v="1"/>
    <n v="3.9900000000000005E-2"/>
  </r>
  <r>
    <x v="8"/>
    <x v="1"/>
    <x v="1"/>
    <n v="37"/>
    <x v="10"/>
    <n v="378.61"/>
    <n v="10"/>
    <n v="0.58823529411764708"/>
    <n v="1295.07"/>
    <n v="3"/>
    <n v="5.6299999999999996E-2"/>
  </r>
  <r>
    <x v="9"/>
    <x v="1"/>
    <x v="1"/>
    <n v="68"/>
    <x v="3"/>
    <n v="299.58999999999997"/>
    <n v="9"/>
    <n v="0.5625"/>
    <n v="979.47"/>
    <n v="2"/>
    <n v="3.6900000000000002E-2"/>
  </r>
  <r>
    <x v="10"/>
    <x v="1"/>
    <x v="1"/>
    <n v="20"/>
    <x v="11"/>
    <n v="202.4"/>
    <n v="7"/>
    <n v="0.77777777777777779"/>
    <n v="732.99"/>
    <n v="1"/>
    <n v="7.9000000000000001E-2"/>
  </r>
  <r>
    <x v="11"/>
    <x v="1"/>
    <x v="1"/>
    <n v="35"/>
    <x v="2"/>
    <n v="568.38"/>
    <n v="6"/>
    <n v="1"/>
    <n v="3949.69"/>
    <n v="1"/>
    <n v="3.7499999999999999E-2"/>
  </r>
  <r>
    <x v="12"/>
    <x v="1"/>
    <x v="1"/>
    <n v="68"/>
    <x v="7"/>
    <n v="553.08000000000004"/>
    <n v="3"/>
    <n v="0.14285714285714285"/>
    <n v="360.7"/>
    <n v="3"/>
    <n v="3.3399999999999999E-2"/>
  </r>
  <r>
    <x v="13"/>
    <x v="1"/>
    <x v="1"/>
    <n v="30"/>
    <x v="9"/>
    <n v="223.22"/>
    <n v="2"/>
    <n v="0.25"/>
    <n v="3595.12"/>
    <n v="2"/>
    <n v="4.3400000000000001E-2"/>
  </r>
  <r>
    <x v="14"/>
    <x v="1"/>
    <x v="1"/>
    <n v="69"/>
    <x v="9"/>
    <n v="199.93"/>
    <n v="2"/>
    <n v="0.25"/>
    <n v="610.66"/>
    <n v="1"/>
    <n v="2.8199999999999999E-2"/>
  </r>
  <r>
    <x v="15"/>
    <x v="1"/>
    <x v="1"/>
    <n v="92"/>
    <x v="2"/>
    <n v="180.46"/>
    <n v="5"/>
    <n v="0.83333333333333337"/>
    <n v="1173.27"/>
    <n v="3"/>
    <n v="7.5300000000000006E-2"/>
  </r>
  <r>
    <x v="16"/>
    <x v="1"/>
    <x v="1"/>
    <n v="92"/>
    <x v="6"/>
    <n v="80.12"/>
    <n v="6"/>
    <n v="0.8571428571428571"/>
    <n v="3794.02"/>
    <n v="2"/>
    <n v="9.5000000000000001E-2"/>
  </r>
  <r>
    <x v="17"/>
    <x v="1"/>
    <x v="1"/>
    <n v="21"/>
    <x v="1"/>
    <n v="563.79"/>
    <n v="8"/>
    <n v="0.5714285714285714"/>
    <n v="3616.21"/>
    <n v="1"/>
    <n v="3.61E-2"/>
  </r>
  <r>
    <x v="18"/>
    <x v="1"/>
    <x v="1"/>
    <n v="83"/>
    <x v="14"/>
    <n v="193.39"/>
    <n v="5"/>
    <n v="0.25"/>
    <n v="402.53"/>
    <n v="3"/>
    <n v="0.1013"/>
  </r>
  <r>
    <x v="19"/>
    <x v="1"/>
    <x v="1"/>
    <n v="57"/>
    <x v="16"/>
    <n v="454.77"/>
    <n v="1"/>
    <n v="9.0909090909090912E-2"/>
    <n v="1152.4100000000001"/>
    <n v="2"/>
    <n v="1E-3"/>
  </r>
  <r>
    <x v="20"/>
    <x v="1"/>
    <x v="1"/>
    <n v="22"/>
    <x v="10"/>
    <n v="291.97000000000003"/>
    <n v="1"/>
    <n v="5.8823529411764705E-2"/>
    <n v="1703.6"/>
    <n v="1"/>
    <n v="5.21E-2"/>
  </r>
  <r>
    <x v="21"/>
    <x v="1"/>
    <x v="1"/>
    <n v="78"/>
    <x v="4"/>
    <n v="553.86"/>
    <n v="1"/>
    <n v="0.2"/>
    <n v="3503.57"/>
    <n v="3"/>
    <n v="3.1300000000000001E-2"/>
  </r>
  <r>
    <x v="22"/>
    <x v="1"/>
    <x v="1"/>
    <n v="68"/>
    <x v="6"/>
    <n v="171.76"/>
    <n v="7"/>
    <n v="1"/>
    <n v="548.36"/>
    <n v="2"/>
    <n v="8.2500000000000004E-2"/>
  </r>
  <r>
    <x v="23"/>
    <x v="1"/>
    <x v="1"/>
    <n v="83"/>
    <x v="3"/>
    <n v="382.21"/>
    <n v="1"/>
    <n v="6.25E-2"/>
    <n v="3017.43"/>
    <n v="3"/>
    <n v="2.4199999999999999E-2"/>
  </r>
  <r>
    <x v="24"/>
    <x v="1"/>
    <x v="1"/>
    <n v="31"/>
    <x v="16"/>
    <n v="562.73"/>
    <n v="4"/>
    <n v="0.36363636363636365"/>
    <n v="221.94"/>
    <n v="2"/>
    <n v="6.7400000000000002E-2"/>
  </r>
  <r>
    <x v="25"/>
    <x v="1"/>
    <x v="1"/>
    <n v="34"/>
    <x v="10"/>
    <n v="380.37"/>
    <n v="7"/>
    <n v="0.41176470588235292"/>
    <n v="4183.2700000000004"/>
    <n v="1"/>
    <n v="8.8699999999999987E-2"/>
  </r>
  <r>
    <x v="0"/>
    <x v="1"/>
    <x v="2"/>
    <n v="55"/>
    <x v="10"/>
    <n v="315.62"/>
    <n v="5"/>
    <n v="0.29411764705882354"/>
    <n v="3890.73"/>
    <n v="3"/>
    <n v="2.8799999999999999E-2"/>
  </r>
  <r>
    <x v="1"/>
    <x v="1"/>
    <x v="2"/>
    <n v="91"/>
    <x v="12"/>
    <n v="361.58"/>
    <n v="4"/>
    <n v="0.4"/>
    <n v="3674.37"/>
    <n v="2"/>
    <n v="4.0800000000000003E-2"/>
  </r>
  <r>
    <x v="2"/>
    <x v="1"/>
    <x v="2"/>
    <n v="59"/>
    <x v="8"/>
    <n v="402.9"/>
    <n v="2"/>
    <n v="0.15384615384615385"/>
    <n v="3357.27"/>
    <n v="1"/>
    <n v="4.2599999999999999E-2"/>
  </r>
  <r>
    <x v="3"/>
    <x v="1"/>
    <x v="2"/>
    <n v="19"/>
    <x v="2"/>
    <n v="82.65"/>
    <n v="3"/>
    <n v="0.5"/>
    <n v="1469.62"/>
    <n v="3"/>
    <n v="3.0699999999999998E-2"/>
  </r>
  <r>
    <x v="4"/>
    <x v="1"/>
    <x v="2"/>
    <n v="77"/>
    <x v="1"/>
    <n v="494.43"/>
    <n v="4"/>
    <n v="0.2857142857142857"/>
    <n v="963.35"/>
    <n v="2"/>
    <n v="3.6699999999999997E-2"/>
  </r>
  <r>
    <x v="5"/>
    <x v="1"/>
    <x v="2"/>
    <n v="50"/>
    <x v="9"/>
    <n v="512.92999999999995"/>
    <n v="3"/>
    <n v="0.375"/>
    <n v="3725.66"/>
    <n v="1"/>
    <n v="1.1599999999999999E-2"/>
  </r>
  <r>
    <x v="6"/>
    <x v="1"/>
    <x v="2"/>
    <n v="88"/>
    <x v="17"/>
    <n v="291.04000000000002"/>
    <n v="2"/>
    <n v="0.1111111111111111"/>
    <n v="2619.84"/>
    <n v="3"/>
    <n v="0.10550000000000001"/>
  </r>
  <r>
    <x v="7"/>
    <x v="1"/>
    <x v="2"/>
    <n v="62"/>
    <x v="11"/>
    <n v="252.77"/>
    <n v="7"/>
    <n v="0.77777777777777779"/>
    <n v="4641.6099999999997"/>
    <n v="2"/>
    <n v="4.0800000000000003E-2"/>
  </r>
  <r>
    <x v="8"/>
    <x v="1"/>
    <x v="2"/>
    <n v="33"/>
    <x v="17"/>
    <n v="348.57"/>
    <n v="8"/>
    <n v="0.44444444444444442"/>
    <n v="1169.6400000000001"/>
    <n v="1"/>
    <n v="5.4800000000000001E-2"/>
  </r>
  <r>
    <x v="9"/>
    <x v="1"/>
    <x v="2"/>
    <n v="54"/>
    <x v="15"/>
    <n v="321.99"/>
    <n v="8"/>
    <n v="0.53333333333333333"/>
    <n v="1080.0899999999999"/>
    <n v="1"/>
    <n v="3.5499999999999997E-2"/>
  </r>
  <r>
    <x v="10"/>
    <x v="1"/>
    <x v="2"/>
    <n v="16"/>
    <x v="11"/>
    <n v="199.87"/>
    <n v="9"/>
    <n v="1"/>
    <n v="818.64"/>
    <n v="3"/>
    <n v="7.46E-2"/>
  </r>
  <r>
    <x v="11"/>
    <x v="1"/>
    <x v="2"/>
    <n v="30"/>
    <x v="4"/>
    <n v="565.19000000000005"/>
    <n v="4"/>
    <n v="0.8"/>
    <n v="3621.51"/>
    <n v="2"/>
    <n v="4.3099999999999999E-2"/>
  </r>
  <r>
    <x v="12"/>
    <x v="1"/>
    <x v="2"/>
    <n v="68"/>
    <x v="5"/>
    <n v="623.25"/>
    <n v="3"/>
    <n v="0.15789473684210525"/>
    <n v="355.96"/>
    <n v="1"/>
    <n v="3.6299999999999999E-2"/>
  </r>
  <r>
    <x v="13"/>
    <x v="1"/>
    <x v="2"/>
    <n v="31"/>
    <x v="11"/>
    <n v="209.18"/>
    <n v="2"/>
    <n v="0.22222222222222221"/>
    <n v="4153.3100000000004"/>
    <n v="3"/>
    <n v="4.0399999999999998E-2"/>
  </r>
  <r>
    <x v="14"/>
    <x v="1"/>
    <x v="2"/>
    <n v="61"/>
    <x v="6"/>
    <n v="190.5"/>
    <n v="3"/>
    <n v="0.42857142857142855"/>
    <n v="661.2"/>
    <n v="2"/>
    <n v="2.7699999999999999E-2"/>
  </r>
  <r>
    <x v="15"/>
    <x v="1"/>
    <x v="2"/>
    <n v="83"/>
    <x v="4"/>
    <n v="170.12"/>
    <n v="3"/>
    <n v="0.6"/>
    <n v="1171.95"/>
    <n v="1"/>
    <n v="7.690000000000001E-2"/>
  </r>
  <r>
    <x v="16"/>
    <x v="1"/>
    <x v="2"/>
    <n v="74"/>
    <x v="6"/>
    <n v="87.89"/>
    <n v="7"/>
    <n v="1"/>
    <n v="3848.14"/>
    <n v="3"/>
    <n v="8.6699999999999999E-2"/>
  </r>
  <r>
    <x v="17"/>
    <x v="1"/>
    <x v="2"/>
    <n v="21"/>
    <x v="1"/>
    <n v="498.82"/>
    <n v="5"/>
    <n v="0.35714285714285715"/>
    <n v="4039.26"/>
    <n v="2"/>
    <n v="3.4000000000000002E-2"/>
  </r>
  <r>
    <x v="18"/>
    <x v="2"/>
    <x v="2"/>
    <n v="84"/>
    <x v="15"/>
    <n v="163.21"/>
    <n v="5"/>
    <n v="0.33333333333333331"/>
    <n v="411.36"/>
    <n v="1"/>
    <n v="0.1014"/>
  </r>
  <r>
    <x v="19"/>
    <x v="2"/>
    <x v="2"/>
    <n v="64"/>
    <x v="8"/>
    <n v="496.4"/>
    <n v="0"/>
    <n v="0"/>
    <n v="1306.3800000000001"/>
    <n v="3"/>
    <n v="1.1000000000000001E-3"/>
  </r>
  <r>
    <x v="20"/>
    <x v="2"/>
    <x v="2"/>
    <n v="21"/>
    <x v="8"/>
    <n v="315.41000000000003"/>
    <n v="1"/>
    <n v="7.6923076923076927E-2"/>
    <n v="1692.59"/>
    <n v="2"/>
    <n v="5.0999999999999997E-2"/>
  </r>
  <r>
    <x v="21"/>
    <x v="2"/>
    <x v="2"/>
    <n v="110"/>
    <x v="2"/>
    <n v="535.37"/>
    <n v="2"/>
    <n v="0.33333333333333331"/>
    <n v="3113.29"/>
    <n v="1"/>
    <n v="3.2099999999999997E-2"/>
  </r>
  <r>
    <x v="22"/>
    <x v="2"/>
    <x v="2"/>
    <n v="62"/>
    <x v="9"/>
    <n v="198.84"/>
    <n v="8"/>
    <n v="1"/>
    <n v="534.58000000000004"/>
    <n v="3"/>
    <n v="8.8000000000000009E-2"/>
  </r>
  <r>
    <x v="23"/>
    <x v="2"/>
    <x v="2"/>
    <n v="108"/>
    <x v="1"/>
    <n v="416.78"/>
    <n v="1"/>
    <n v="7.1428571428571425E-2"/>
    <n v="2989.69"/>
    <n v="2"/>
    <n v="2.5499999999999998E-2"/>
  </r>
  <r>
    <x v="24"/>
    <x v="2"/>
    <x v="2"/>
    <n v="28"/>
    <x v="0"/>
    <n v="533.85"/>
    <n v="5"/>
    <n v="0.41666666666666669"/>
    <n v="224.87"/>
    <n v="1"/>
    <n v="6.480000000000001E-2"/>
  </r>
  <r>
    <x v="25"/>
    <x v="2"/>
    <x v="2"/>
    <n v="39"/>
    <x v="3"/>
    <n v="312.8"/>
    <n v="8"/>
    <n v="0.5"/>
    <n v="4592.09"/>
    <n v="3"/>
    <n v="8.5500000000000007E-2"/>
  </r>
  <r>
    <x v="0"/>
    <x v="2"/>
    <x v="3"/>
    <n v="69"/>
    <x v="10"/>
    <n v="342.81"/>
    <n v="6"/>
    <n v="0.35294117647058826"/>
    <n v="3728.2"/>
    <n v="2"/>
    <n v="2.9600000000000001E-2"/>
  </r>
  <r>
    <x v="1"/>
    <x v="2"/>
    <x v="3"/>
    <n v="83"/>
    <x v="16"/>
    <n v="365.12"/>
    <n v="5"/>
    <n v="0.45454545454545453"/>
    <n v="3682.69"/>
    <n v="1"/>
    <n v="3.8199999999999998E-2"/>
  </r>
  <r>
    <x v="2"/>
    <x v="2"/>
    <x v="3"/>
    <n v="41"/>
    <x v="1"/>
    <n v="416.88"/>
    <n v="2"/>
    <n v="0.14285714285714285"/>
    <n v="3638.83"/>
    <n v="3"/>
    <n v="4.41E-2"/>
  </r>
  <r>
    <x v="3"/>
    <x v="2"/>
    <x v="3"/>
    <n v="17"/>
    <x v="6"/>
    <n v="81.14"/>
    <n v="3"/>
    <n v="0.42857142857142855"/>
    <n v="1419.04"/>
    <n v="2"/>
    <n v="2.9399999999999999E-2"/>
  </r>
  <r>
    <x v="4"/>
    <x v="2"/>
    <x v="3"/>
    <n v="76"/>
    <x v="3"/>
    <n v="449.04"/>
    <n v="4"/>
    <n v="0.25"/>
    <n v="1019.97"/>
    <n v="1"/>
    <n v="3.8100000000000002E-2"/>
  </r>
  <r>
    <x v="5"/>
    <x v="2"/>
    <x v="3"/>
    <n v="72"/>
    <x v="2"/>
    <n v="508.55"/>
    <n v="3"/>
    <n v="0.5"/>
    <n v="3633.75"/>
    <n v="3"/>
    <n v="1.1399999999999999E-2"/>
  </r>
  <r>
    <x v="6"/>
    <x v="2"/>
    <x v="3"/>
    <n v="72"/>
    <x v="17"/>
    <n v="299.08999999999997"/>
    <n v="2"/>
    <n v="0.1111111111111111"/>
    <n v="2378.29"/>
    <n v="2"/>
    <n v="0.1052"/>
  </r>
  <r>
    <x v="7"/>
    <x v="2"/>
    <x v="3"/>
    <n v="44"/>
    <x v="2"/>
    <n v="246.21"/>
    <n v="5"/>
    <n v="0.83333333333333337"/>
    <n v="4155.8"/>
    <n v="1"/>
    <n v="4.3299999999999998E-2"/>
  </r>
  <r>
    <x v="8"/>
    <x v="2"/>
    <x v="3"/>
    <n v="29"/>
    <x v="3"/>
    <n v="412.07"/>
    <n v="10"/>
    <n v="0.625"/>
    <n v="1075.94"/>
    <n v="1"/>
    <n v="6.2400000000000004E-2"/>
  </r>
  <r>
    <x v="9"/>
    <x v="2"/>
    <x v="3"/>
    <n v="64"/>
    <x v="8"/>
    <n v="317.58"/>
    <n v="8"/>
    <n v="0.61538461538461542"/>
    <n v="1088.22"/>
    <n v="3"/>
    <n v="3.49E-2"/>
  </r>
  <r>
    <x v="10"/>
    <x v="2"/>
    <x v="3"/>
    <n v="16"/>
    <x v="6"/>
    <n v="181.58"/>
    <n v="6"/>
    <n v="0.8571428571428571"/>
    <n v="868.4"/>
    <n v="2"/>
    <n v="8.4100000000000008E-2"/>
  </r>
  <r>
    <x v="11"/>
    <x v="2"/>
    <x v="3"/>
    <n v="37"/>
    <x v="6"/>
    <n v="470.85"/>
    <n v="7"/>
    <n v="1"/>
    <n v="3483.6"/>
    <n v="1"/>
    <n v="4.2599999999999999E-2"/>
  </r>
  <r>
    <x v="12"/>
    <x v="2"/>
    <x v="3"/>
    <n v="81"/>
    <x v="3"/>
    <n v="584.29999999999995"/>
    <n v="3"/>
    <n v="0.1875"/>
    <n v="377.45"/>
    <n v="3"/>
    <n v="3.32E-2"/>
  </r>
  <r>
    <x v="13"/>
    <x v="2"/>
    <x v="3"/>
    <n v="26"/>
    <x v="2"/>
    <n v="231.59"/>
    <n v="2"/>
    <n v="0.33333333333333331"/>
    <n v="3988.15"/>
    <n v="2"/>
    <n v="3.8399999999999997E-2"/>
  </r>
  <r>
    <x v="14"/>
    <x v="3"/>
    <x v="3"/>
    <n v="69"/>
    <x v="11"/>
    <n v="221.01"/>
    <n v="3"/>
    <n v="0.33333333333333331"/>
    <n v="643.44000000000005"/>
    <n v="1"/>
    <n v="3.2000000000000001E-2"/>
  </r>
  <r>
    <x v="15"/>
    <x v="3"/>
    <x v="3"/>
    <n v="103"/>
    <x v="2"/>
    <n v="165.74"/>
    <n v="6"/>
    <n v="1"/>
    <n v="1169.3800000000001"/>
    <n v="3"/>
    <n v="7.7699999999999991E-2"/>
  </r>
  <r>
    <x v="16"/>
    <x v="3"/>
    <x v="3"/>
    <n v="100"/>
    <x v="6"/>
    <n v="82.62"/>
    <n v="6"/>
    <n v="0.8571428571428571"/>
    <n v="4085.91"/>
    <n v="2"/>
    <n v="9.0500000000000011E-2"/>
  </r>
  <r>
    <x v="17"/>
    <x v="3"/>
    <x v="3"/>
    <n v="26"/>
    <x v="10"/>
    <n v="526.34"/>
    <n v="6"/>
    <n v="0.35294117647058826"/>
    <n v="3360.11"/>
    <n v="1"/>
    <n v="3.0600000000000002E-2"/>
  </r>
  <r>
    <x v="18"/>
    <x v="3"/>
    <x v="3"/>
    <n v="104"/>
    <x v="18"/>
    <n v="190.87"/>
    <n v="4"/>
    <n v="0.18181818181818182"/>
    <n v="433.41"/>
    <n v="3"/>
    <n v="9.3599999999999989E-2"/>
  </r>
  <r>
    <x v="19"/>
    <x v="3"/>
    <x v="3"/>
    <n v="63"/>
    <x v="16"/>
    <n v="554.51"/>
    <n v="1"/>
    <n v="9.0909090909090912E-2"/>
    <n v="1138.51"/>
    <n v="2"/>
    <n v="1E-3"/>
  </r>
  <r>
    <x v="20"/>
    <x v="3"/>
    <x v="3"/>
    <n v="22"/>
    <x v="8"/>
    <n v="302.49"/>
    <n v="2"/>
    <n v="0.15384615384615385"/>
    <n v="1591.45"/>
    <n v="3"/>
    <n v="4.9599999999999998E-2"/>
  </r>
  <r>
    <x v="21"/>
    <x v="3"/>
    <x v="3"/>
    <n v="91"/>
    <x v="4"/>
    <n v="605.11"/>
    <n v="2"/>
    <n v="0.4"/>
    <n v="3499.88"/>
    <n v="2"/>
    <n v="3.0200000000000001E-2"/>
  </r>
  <r>
    <x v="22"/>
    <x v="3"/>
    <x v="3"/>
    <n v="77"/>
    <x v="9"/>
    <n v="173.88"/>
    <n v="6"/>
    <n v="0.75"/>
    <n v="462.44"/>
    <n v="1"/>
    <n v="7.9899999999999999E-2"/>
  </r>
  <r>
    <x v="23"/>
    <x v="3"/>
    <x v="3"/>
    <n v="90"/>
    <x v="10"/>
    <n v="366.84"/>
    <n v="0"/>
    <n v="0"/>
    <n v="3153.56"/>
    <n v="3"/>
    <n v="2.4500000000000001E-2"/>
  </r>
  <r>
    <x v="24"/>
    <x v="3"/>
    <x v="3"/>
    <n v="33"/>
    <x v="11"/>
    <n v="578.41999999999996"/>
    <n v="4"/>
    <n v="0.44444444444444442"/>
    <n v="229.72"/>
    <n v="2"/>
    <n v="7.46E-2"/>
  </r>
  <r>
    <x v="25"/>
    <x v="3"/>
    <x v="3"/>
    <n v="42"/>
    <x v="1"/>
    <n v="321.29000000000002"/>
    <n v="7"/>
    <n v="0.5"/>
    <n v="4298.2700000000004"/>
    <n v="1"/>
    <n v="7.4499999999999997E-2"/>
  </r>
  <r>
    <x v="0"/>
    <x v="3"/>
    <x v="4"/>
    <n v="69"/>
    <x v="3"/>
    <n v="299.22000000000003"/>
    <n v="6"/>
    <n v="0.375"/>
    <n v="3716.14"/>
    <n v="3"/>
    <n v="2.63E-2"/>
  </r>
  <r>
    <x v="1"/>
    <x v="3"/>
    <x v="4"/>
    <n v="68"/>
    <x v="16"/>
    <n v="345.62"/>
    <n v="4"/>
    <n v="0.36363636363636365"/>
    <n v="3558.13"/>
    <n v="2"/>
    <n v="4.0800000000000003E-2"/>
  </r>
  <r>
    <x v="2"/>
    <x v="3"/>
    <x v="4"/>
    <n v="45"/>
    <x v="10"/>
    <n v="416.96"/>
    <n v="3"/>
    <n v="0.17647058823529413"/>
    <n v="3327.07"/>
    <n v="1"/>
    <n v="4.0999999999999995E-2"/>
  </r>
  <r>
    <x v="3"/>
    <x v="3"/>
    <x v="4"/>
    <n v="17"/>
    <x v="9"/>
    <n v="72.05"/>
    <n v="3"/>
    <n v="0.375"/>
    <n v="1672.82"/>
    <n v="3"/>
    <n v="3.0299999999999997E-2"/>
  </r>
  <r>
    <x v="4"/>
    <x v="3"/>
    <x v="4"/>
    <n v="85"/>
    <x v="8"/>
    <n v="475.61"/>
    <n v="5"/>
    <n v="0.38461538461538464"/>
    <n v="939.32"/>
    <n v="2"/>
    <n v="3.6400000000000002E-2"/>
  </r>
  <r>
    <x v="5"/>
    <x v="3"/>
    <x v="4"/>
    <n v="49"/>
    <x v="6"/>
    <n v="469.53"/>
    <n v="3"/>
    <n v="0.42857142857142855"/>
    <n v="3623.32"/>
    <n v="1"/>
    <n v="1.21E-2"/>
  </r>
  <r>
    <x v="6"/>
    <x v="3"/>
    <x v="4"/>
    <n v="66"/>
    <x v="15"/>
    <n v="333.1"/>
    <n v="2"/>
    <n v="0.13333333333333333"/>
    <n v="2631.58"/>
    <n v="1"/>
    <n v="0.10249999999999999"/>
  </r>
  <r>
    <x v="7"/>
    <x v="3"/>
    <x v="4"/>
    <n v="63"/>
    <x v="11"/>
    <n v="258.11"/>
    <n v="7"/>
    <n v="0.77777777777777779"/>
    <n v="4064.36"/>
    <n v="3"/>
    <n v="4.1599999999999998E-2"/>
  </r>
  <r>
    <x v="8"/>
    <x v="3"/>
    <x v="4"/>
    <n v="31"/>
    <x v="14"/>
    <n v="400.8"/>
    <n v="8"/>
    <n v="0.4"/>
    <n v="1294.3599999999999"/>
    <n v="2"/>
    <n v="5.6399999999999999E-2"/>
  </r>
  <r>
    <x v="9"/>
    <x v="3"/>
    <x v="4"/>
    <n v="75"/>
    <x v="5"/>
    <n v="343.28"/>
    <n v="9"/>
    <n v="0.47368421052631576"/>
    <n v="899.46"/>
    <n v="1"/>
    <n v="3.2199999999999999E-2"/>
  </r>
  <r>
    <x v="10"/>
    <x v="3"/>
    <x v="4"/>
    <n v="18"/>
    <x v="6"/>
    <n v="204.63"/>
    <n v="7"/>
    <n v="1"/>
    <n v="789.77"/>
    <n v="3"/>
    <n v="7.4499999999999997E-2"/>
  </r>
  <r>
    <x v="11"/>
    <x v="3"/>
    <x v="4"/>
    <n v="35"/>
    <x v="2"/>
    <n v="553.11"/>
    <n v="4"/>
    <n v="0.66666666666666663"/>
    <n v="3867.67"/>
    <n v="2"/>
    <n v="3.8300000000000001E-2"/>
  </r>
  <r>
    <x v="12"/>
    <x v="3"/>
    <x v="4"/>
    <n v="74"/>
    <x v="14"/>
    <n v="623.33000000000004"/>
    <n v="2"/>
    <n v="0.1"/>
    <n v="359.97"/>
    <n v="1"/>
    <n v="3.8399999999999997E-2"/>
  </r>
  <r>
    <x v="13"/>
    <x v="3"/>
    <x v="4"/>
    <n v="26"/>
    <x v="6"/>
    <n v="200.45"/>
    <n v="1"/>
    <n v="0.14285714285714285"/>
    <n v="3797.35"/>
    <n v="3"/>
    <n v="4.1399999999999999E-2"/>
  </r>
  <r>
    <x v="14"/>
    <x v="3"/>
    <x v="4"/>
    <n v="50"/>
    <x v="6"/>
    <n v="196.2"/>
    <n v="2"/>
    <n v="0.2857142857142857"/>
    <n v="592.71"/>
    <n v="2"/>
    <n v="2.76E-2"/>
  </r>
  <r>
    <x v="15"/>
    <x v="3"/>
    <x v="4"/>
    <n v="97"/>
    <x v="4"/>
    <n v="185.62"/>
    <n v="4"/>
    <n v="0.8"/>
    <n v="1282.81"/>
    <n v="1"/>
    <n v="7.22E-2"/>
  </r>
  <r>
    <x v="16"/>
    <x v="3"/>
    <x v="4"/>
    <n v="91"/>
    <x v="6"/>
    <n v="89.39"/>
    <n v="6"/>
    <n v="0.8571428571428571"/>
    <n v="3971.59"/>
    <n v="3"/>
    <n v="9.0700000000000003E-2"/>
  </r>
  <r>
    <x v="17"/>
    <x v="3"/>
    <x v="4"/>
    <n v="21"/>
    <x v="1"/>
    <n v="472.79"/>
    <n v="8"/>
    <n v="0.5714285714285714"/>
    <n v="3830.32"/>
    <n v="2"/>
    <n v="3.5200000000000002E-2"/>
  </r>
  <r>
    <x v="18"/>
    <x v="3"/>
    <x v="4"/>
    <n v="91"/>
    <x v="15"/>
    <n v="173.03"/>
    <n v="4"/>
    <n v="0.26666666666666666"/>
    <n v="386.08"/>
    <n v="1"/>
    <n v="9.820000000000001E-2"/>
  </r>
  <r>
    <x v="19"/>
    <x v="3"/>
    <x v="4"/>
    <n v="67"/>
    <x v="15"/>
    <n v="499.68"/>
    <n v="0"/>
    <n v="0"/>
    <n v="1287.1300000000001"/>
    <n v="3"/>
    <n v="1E-3"/>
  </r>
  <r>
    <x v="20"/>
    <x v="3"/>
    <x v="4"/>
    <n v="19"/>
    <x v="8"/>
    <n v="316.23"/>
    <n v="1"/>
    <n v="7.6923076923076927E-2"/>
    <n v="1598.49"/>
    <n v="2"/>
    <n v="5.8299999999999998E-2"/>
  </r>
  <r>
    <x v="21"/>
    <x v="3"/>
    <x v="4"/>
    <n v="105"/>
    <x v="2"/>
    <n v="567.03"/>
    <n v="1"/>
    <n v="0.16666666666666666"/>
    <n v="3496.65"/>
    <n v="1"/>
    <n v="3.0600000000000002E-2"/>
  </r>
  <r>
    <x v="22"/>
    <x v="3"/>
    <x v="4"/>
    <n v="73"/>
    <x v="9"/>
    <n v="175.52"/>
    <n v="7"/>
    <n v="0.875"/>
    <n v="455.32"/>
    <n v="3"/>
    <n v="9.35E-2"/>
  </r>
  <r>
    <x v="23"/>
    <x v="3"/>
    <x v="4"/>
    <n v="111"/>
    <x v="8"/>
    <n v="358.31"/>
    <n v="0"/>
    <n v="0"/>
    <n v="2811.77"/>
    <n v="2"/>
    <n v="2.7099999999999999E-2"/>
  </r>
  <r>
    <x v="24"/>
    <x v="3"/>
    <x v="4"/>
    <n v="38"/>
    <x v="0"/>
    <n v="556.33000000000004"/>
    <n v="4"/>
    <n v="0.33333333333333331"/>
    <n v="241.08"/>
    <n v="1"/>
    <n v="7.0599999999999996E-2"/>
  </r>
  <r>
    <x v="25"/>
    <x v="3"/>
    <x v="4"/>
    <n v="33"/>
    <x v="10"/>
    <n v="371.65"/>
    <n v="9"/>
    <n v="0.52941176470588236"/>
    <n v="4068.75"/>
    <n v="3"/>
    <n v="8.5500000000000007E-2"/>
  </r>
  <r>
    <x v="0"/>
    <x v="3"/>
    <x v="5"/>
    <n v="59"/>
    <x v="3"/>
    <n v="359.47"/>
    <n v="7"/>
    <n v="0.4375"/>
    <n v="3958.94"/>
    <n v="2"/>
    <n v="2.46E-2"/>
  </r>
  <r>
    <x v="1"/>
    <x v="3"/>
    <x v="5"/>
    <n v="71"/>
    <x v="16"/>
    <n v="379.33"/>
    <n v="4"/>
    <n v="0.36363636363636365"/>
    <n v="4003.52"/>
    <n v="1"/>
    <n v="4.2900000000000001E-2"/>
  </r>
  <r>
    <x v="2"/>
    <x v="3"/>
    <x v="5"/>
    <n v="48"/>
    <x v="1"/>
    <n v="383.94"/>
    <n v="3"/>
    <n v="0.21428571428571427"/>
    <n v="3173.36"/>
    <n v="3"/>
    <n v="4.0999999999999995E-2"/>
  </r>
  <r>
    <x v="3"/>
    <x v="3"/>
    <x v="5"/>
    <n v="18"/>
    <x v="6"/>
    <n v="85.32"/>
    <n v="3"/>
    <n v="0.42857142857142855"/>
    <n v="1431.69"/>
    <n v="2"/>
    <n v="3.1600000000000003E-2"/>
  </r>
  <r>
    <x v="4"/>
    <x v="3"/>
    <x v="5"/>
    <n v="93"/>
    <x v="1"/>
    <n v="466.81"/>
    <n v="5"/>
    <n v="0.35714285714285715"/>
    <n v="988.98"/>
    <n v="1"/>
    <n v="4.2300000000000004E-2"/>
  </r>
  <r>
    <x v="5"/>
    <x v="4"/>
    <x v="5"/>
    <n v="49"/>
    <x v="6"/>
    <n v="512.88"/>
    <n v="2"/>
    <n v="0.2857142857142857"/>
    <n v="3545.66"/>
    <n v="1"/>
    <n v="1.2699999999999999E-2"/>
  </r>
  <r>
    <x v="6"/>
    <x v="4"/>
    <x v="5"/>
    <n v="85"/>
    <x v="10"/>
    <n v="324.56"/>
    <n v="3"/>
    <n v="0.17647058823529413"/>
    <n v="2420.5300000000002"/>
    <n v="3"/>
    <n v="8.929999999999999E-2"/>
  </r>
  <r>
    <x v="7"/>
    <x v="4"/>
    <x v="5"/>
    <n v="61"/>
    <x v="6"/>
    <n v="219.53"/>
    <n v="7"/>
    <n v="1"/>
    <n v="3860.12"/>
    <n v="2"/>
    <n v="4.3499999999999997E-2"/>
  </r>
  <r>
    <x v="8"/>
    <x v="4"/>
    <x v="5"/>
    <n v="30"/>
    <x v="3"/>
    <n v="353.65"/>
    <n v="9"/>
    <n v="0.5625"/>
    <n v="1213.5899999999999"/>
    <n v="1"/>
    <n v="6.2E-2"/>
  </r>
  <r>
    <x v="9"/>
    <x v="4"/>
    <x v="5"/>
    <n v="54"/>
    <x v="3"/>
    <n v="334.41"/>
    <n v="9"/>
    <n v="0.5625"/>
    <n v="1056.98"/>
    <n v="3"/>
    <n v="3.5200000000000002E-2"/>
  </r>
  <r>
    <x v="10"/>
    <x v="4"/>
    <x v="5"/>
    <n v="19"/>
    <x v="6"/>
    <n v="199.46"/>
    <n v="7"/>
    <n v="1"/>
    <n v="809.56"/>
    <n v="2"/>
    <n v="7.1399999999999991E-2"/>
  </r>
  <r>
    <x v="11"/>
    <x v="4"/>
    <x v="5"/>
    <n v="40"/>
    <x v="2"/>
    <n v="509.67"/>
    <n v="4"/>
    <n v="0.66666666666666663"/>
    <n v="3330.44"/>
    <n v="1"/>
    <n v="3.8300000000000001E-2"/>
  </r>
  <r>
    <x v="12"/>
    <x v="4"/>
    <x v="5"/>
    <n v="73"/>
    <x v="7"/>
    <n v="601.02"/>
    <n v="2"/>
    <n v="9.5238095238095233E-2"/>
    <n v="364.56"/>
    <n v="3"/>
    <n v="3.4300000000000004E-2"/>
  </r>
  <r>
    <x v="13"/>
    <x v="4"/>
    <x v="5"/>
    <n v="36"/>
    <x v="11"/>
    <n v="196.74"/>
    <n v="1"/>
    <n v="0.1111111111111111"/>
    <n v="3760.57"/>
    <n v="2"/>
    <n v="3.9800000000000002E-2"/>
  </r>
  <r>
    <x v="14"/>
    <x v="4"/>
    <x v="5"/>
    <n v="58"/>
    <x v="9"/>
    <n v="196.58"/>
    <n v="3"/>
    <n v="0.375"/>
    <n v="692.47"/>
    <n v="1"/>
    <n v="3.27E-2"/>
  </r>
  <r>
    <x v="15"/>
    <x v="4"/>
    <x v="5"/>
    <n v="100"/>
    <x v="4"/>
    <n v="153.87"/>
    <n v="2"/>
    <n v="0.4"/>
    <n v="1190.24"/>
    <n v="3"/>
    <n v="8.0600000000000005E-2"/>
  </r>
  <r>
    <x v="16"/>
    <x v="4"/>
    <x v="5"/>
    <n v="93"/>
    <x v="4"/>
    <n v="85.65"/>
    <n v="5"/>
    <n v="1"/>
    <n v="3913.17"/>
    <n v="2"/>
    <n v="9.5700000000000007E-2"/>
  </r>
  <r>
    <x v="17"/>
    <x v="4"/>
    <x v="5"/>
    <n v="28"/>
    <x v="3"/>
    <n v="506.95"/>
    <n v="6"/>
    <n v="0.375"/>
    <n v="3993.03"/>
    <n v="3"/>
    <n v="3.0600000000000002E-2"/>
  </r>
  <r>
    <x v="18"/>
    <x v="4"/>
    <x v="5"/>
    <n v="88"/>
    <x v="17"/>
    <n v="181.21"/>
    <n v="4"/>
    <n v="0.22222222222222221"/>
    <n v="377.13"/>
    <n v="2"/>
    <n v="0.10009999999999999"/>
  </r>
  <r>
    <x v="19"/>
    <x v="4"/>
    <x v="5"/>
    <n v="69"/>
    <x v="3"/>
    <n v="495.32"/>
    <n v="0"/>
    <n v="0"/>
    <n v="1262.99"/>
    <n v="1"/>
    <n v="1E-3"/>
  </r>
  <r>
    <x v="20"/>
    <x v="4"/>
    <x v="5"/>
    <n v="21"/>
    <x v="3"/>
    <n v="315.91000000000003"/>
    <n v="1"/>
    <n v="6.25E-2"/>
    <n v="1455.83"/>
    <n v="3"/>
    <n v="5.1299999999999998E-2"/>
  </r>
  <r>
    <x v="21"/>
    <x v="4"/>
    <x v="5"/>
    <n v="92"/>
    <x v="4"/>
    <n v="569.75"/>
    <n v="2"/>
    <n v="0.4"/>
    <n v="3734.43"/>
    <n v="2"/>
    <n v="2.76E-2"/>
  </r>
  <r>
    <x v="22"/>
    <x v="4"/>
    <x v="5"/>
    <n v="58"/>
    <x v="6"/>
    <n v="173.24"/>
    <n v="7"/>
    <n v="1"/>
    <n v="525.73"/>
    <n v="1"/>
    <n v="8.2299999999999998E-2"/>
  </r>
  <r>
    <x v="23"/>
    <x v="4"/>
    <x v="5"/>
    <n v="114"/>
    <x v="8"/>
    <n v="364.35"/>
    <n v="0"/>
    <n v="0"/>
    <n v="2988.28"/>
    <n v="3"/>
    <n v="2.58E-2"/>
  </r>
  <r>
    <x v="24"/>
    <x v="4"/>
    <x v="5"/>
    <n v="35"/>
    <x v="0"/>
    <n v="515.24"/>
    <n v="5"/>
    <n v="0.41666666666666669"/>
    <n v="224.24"/>
    <n v="2"/>
    <n v="6.9800000000000001E-2"/>
  </r>
  <r>
    <x v="25"/>
    <x v="4"/>
    <x v="5"/>
    <n v="35"/>
    <x v="3"/>
    <n v="351.71"/>
    <n v="9"/>
    <n v="0.5625"/>
    <n v="3984.69"/>
    <n v="1"/>
    <n v="7.4099999999999999E-2"/>
  </r>
  <r>
    <x v="0"/>
    <x v="4"/>
    <x v="6"/>
    <n v="71"/>
    <x v="10"/>
    <n v="360.1"/>
    <n v="6"/>
    <n v="0.35294117647058826"/>
    <n v="4444.83"/>
    <n v="3"/>
    <n v="2.9500000000000002E-2"/>
  </r>
  <r>
    <x v="1"/>
    <x v="4"/>
    <x v="6"/>
    <n v="62"/>
    <x v="8"/>
    <n v="364.64"/>
    <n v="4"/>
    <n v="0.30769230769230771"/>
    <n v="3704.33"/>
    <n v="2"/>
    <n v="3.7499999999999999E-2"/>
  </r>
  <r>
    <x v="2"/>
    <x v="4"/>
    <x v="6"/>
    <n v="53"/>
    <x v="1"/>
    <n v="367.56"/>
    <n v="2"/>
    <n v="0.14285714285714285"/>
    <n v="3514.07"/>
    <n v="1"/>
    <n v="4.0099999999999997E-2"/>
  </r>
  <r>
    <x v="3"/>
    <x v="4"/>
    <x v="6"/>
    <n v="18"/>
    <x v="2"/>
    <n v="76.27"/>
    <n v="4"/>
    <n v="0.66666666666666663"/>
    <n v="1597.98"/>
    <n v="1"/>
    <n v="2.81E-2"/>
  </r>
  <r>
    <x v="4"/>
    <x v="4"/>
    <x v="6"/>
    <n v="71"/>
    <x v="0"/>
    <n v="487.04"/>
    <n v="5"/>
    <n v="0.41666666666666669"/>
    <n v="1004.9"/>
    <n v="3"/>
    <n v="4.2099999999999999E-2"/>
  </r>
  <r>
    <x v="5"/>
    <x v="4"/>
    <x v="6"/>
    <n v="70"/>
    <x v="4"/>
    <n v="491.31"/>
    <n v="3"/>
    <n v="0.6"/>
    <n v="3289.06"/>
    <n v="2"/>
    <n v="1.1299999999999999E-2"/>
  </r>
  <r>
    <x v="6"/>
    <x v="4"/>
    <x v="6"/>
    <n v="77"/>
    <x v="15"/>
    <n v="282.58999999999997"/>
    <n v="2"/>
    <n v="0.13333333333333333"/>
    <n v="2296.14"/>
    <n v="1"/>
    <n v="9.5799999999999996E-2"/>
  </r>
  <r>
    <x v="7"/>
    <x v="4"/>
    <x v="6"/>
    <n v="50"/>
    <x v="11"/>
    <n v="246.06"/>
    <n v="5"/>
    <n v="0.55555555555555558"/>
    <n v="4227.22"/>
    <n v="3"/>
    <n v="3.7200000000000004E-2"/>
  </r>
  <r>
    <x v="8"/>
    <x v="4"/>
    <x v="6"/>
    <n v="31"/>
    <x v="15"/>
    <n v="347.38"/>
    <n v="10"/>
    <n v="0.66666666666666663"/>
    <n v="1101.06"/>
    <n v="2"/>
    <n v="6.0100000000000001E-2"/>
  </r>
  <r>
    <x v="9"/>
    <x v="4"/>
    <x v="6"/>
    <n v="77"/>
    <x v="3"/>
    <n v="335.59"/>
    <n v="7"/>
    <n v="0.4375"/>
    <n v="1087.4100000000001"/>
    <n v="1"/>
    <n v="3.6900000000000002E-2"/>
  </r>
  <r>
    <x v="10"/>
    <x v="4"/>
    <x v="6"/>
    <n v="17"/>
    <x v="9"/>
    <n v="208.21"/>
    <n v="4"/>
    <n v="0.5"/>
    <n v="828.73"/>
    <n v="3"/>
    <n v="7.4200000000000002E-2"/>
  </r>
  <r>
    <x v="11"/>
    <x v="4"/>
    <x v="6"/>
    <n v="32"/>
    <x v="2"/>
    <n v="553.58000000000004"/>
    <n v="3"/>
    <n v="0.5"/>
    <n v="3939.56"/>
    <n v="2"/>
    <n v="3.78E-2"/>
  </r>
  <r>
    <x v="12"/>
    <x v="4"/>
    <x v="6"/>
    <n v="72"/>
    <x v="7"/>
    <n v="604.57000000000005"/>
    <n v="2"/>
    <n v="9.5238095238095233E-2"/>
    <n v="327.82"/>
    <n v="1"/>
    <n v="3.6699999999999997E-2"/>
  </r>
  <r>
    <x v="13"/>
    <x v="4"/>
    <x v="6"/>
    <n v="34"/>
    <x v="6"/>
    <n v="199.39"/>
    <n v="1"/>
    <n v="0.14285714285714285"/>
    <n v="3767.74"/>
    <n v="3"/>
    <n v="3.85E-2"/>
  </r>
  <r>
    <x v="14"/>
    <x v="4"/>
    <x v="6"/>
    <n v="71"/>
    <x v="11"/>
    <n v="220.4"/>
    <n v="2"/>
    <n v="0.22222222222222221"/>
    <n v="692.29"/>
    <n v="2"/>
    <n v="2.8999999999999998E-2"/>
  </r>
  <r>
    <x v="15"/>
    <x v="4"/>
    <x v="6"/>
    <n v="83"/>
    <x v="4"/>
    <n v="166.85"/>
    <n v="4"/>
    <n v="0.8"/>
    <n v="1364.24"/>
    <n v="1"/>
    <n v="8.3100000000000007E-2"/>
  </r>
  <r>
    <x v="16"/>
    <x v="4"/>
    <x v="6"/>
    <n v="71"/>
    <x v="6"/>
    <n v="78.53"/>
    <n v="4"/>
    <n v="0.5714285714285714"/>
    <n v="3652.64"/>
    <n v="3"/>
    <n v="8.6999999999999994E-2"/>
  </r>
  <r>
    <x v="17"/>
    <x v="4"/>
    <x v="6"/>
    <n v="24"/>
    <x v="8"/>
    <n v="471.72"/>
    <n v="7"/>
    <n v="0.53846153846153844"/>
    <n v="3588.89"/>
    <n v="2"/>
    <n v="3.5400000000000001E-2"/>
  </r>
  <r>
    <x v="18"/>
    <x v="4"/>
    <x v="6"/>
    <n v="75"/>
    <x v="10"/>
    <n v="176.07"/>
    <n v="5"/>
    <n v="0.29411764705882354"/>
    <n v="458.18"/>
    <n v="1"/>
    <n v="9.9399999999999988E-2"/>
  </r>
  <r>
    <x v="19"/>
    <x v="4"/>
    <x v="6"/>
    <n v="76"/>
    <x v="16"/>
    <n v="486.93"/>
    <n v="0"/>
    <n v="0"/>
    <n v="1219.29"/>
    <n v="3"/>
    <n v="1E-3"/>
  </r>
  <r>
    <x v="20"/>
    <x v="4"/>
    <x v="6"/>
    <n v="20"/>
    <x v="1"/>
    <n v="283.66000000000003"/>
    <n v="2"/>
    <n v="0.14285714285714285"/>
    <n v="1494.14"/>
    <n v="2"/>
    <n v="5.7800000000000004E-2"/>
  </r>
  <r>
    <x v="21"/>
    <x v="4"/>
    <x v="6"/>
    <n v="79"/>
    <x v="2"/>
    <n v="536.04999999999995"/>
    <n v="1"/>
    <n v="0.16666666666666666"/>
    <n v="3682.29"/>
    <n v="1"/>
    <n v="3.2099999999999997E-2"/>
  </r>
  <r>
    <x v="22"/>
    <x v="4"/>
    <x v="6"/>
    <n v="82"/>
    <x v="11"/>
    <n v="171.86"/>
    <n v="7"/>
    <n v="0.77777777777777779"/>
    <n v="506.88"/>
    <n v="3"/>
    <n v="9.4100000000000003E-2"/>
  </r>
  <r>
    <x v="23"/>
    <x v="4"/>
    <x v="6"/>
    <n v="103"/>
    <x v="15"/>
    <n v="359.16"/>
    <n v="1"/>
    <n v="6.6666666666666666E-2"/>
    <n v="2949.94"/>
    <n v="2"/>
    <n v="2.3599999999999999E-2"/>
  </r>
  <r>
    <x v="24"/>
    <x v="4"/>
    <x v="6"/>
    <n v="41"/>
    <x v="11"/>
    <n v="569.97"/>
    <n v="5"/>
    <n v="0.55555555555555558"/>
    <n v="259.86"/>
    <n v="1"/>
    <n v="6.3299999999999995E-2"/>
  </r>
  <r>
    <x v="25"/>
    <x v="4"/>
    <x v="6"/>
    <n v="38"/>
    <x v="1"/>
    <n v="359.22"/>
    <n v="8"/>
    <n v="0.5714285714285714"/>
    <n v="3846.34"/>
    <n v="3"/>
    <n v="8.5900000000000004E-2"/>
  </r>
  <r>
    <x v="0"/>
    <x v="4"/>
    <x v="7"/>
    <n v="71"/>
    <x v="15"/>
    <n v="297.05"/>
    <n v="6"/>
    <n v="0.4"/>
    <n v="4043.62"/>
    <n v="2"/>
    <n v="2.7200000000000002E-2"/>
  </r>
  <r>
    <x v="1"/>
    <x v="4"/>
    <x v="7"/>
    <n v="66"/>
    <x v="8"/>
    <n v="376.76"/>
    <n v="5"/>
    <n v="0.38461538461538464"/>
    <n v="3819.73"/>
    <n v="1"/>
    <n v="4.4900000000000002E-2"/>
  </r>
  <r>
    <x v="2"/>
    <x v="4"/>
    <x v="7"/>
    <n v="53"/>
    <x v="15"/>
    <n v="379.29"/>
    <n v="2"/>
    <n v="0.13333333333333333"/>
    <n v="3409.69"/>
    <n v="1"/>
    <n v="4.41E-2"/>
  </r>
  <r>
    <x v="3"/>
    <x v="4"/>
    <x v="7"/>
    <n v="18"/>
    <x v="9"/>
    <n v="82.91"/>
    <n v="3"/>
    <n v="0.375"/>
    <n v="1387.86"/>
    <n v="3"/>
    <n v="3.0099999999999998E-2"/>
  </r>
  <r>
    <x v="4"/>
    <x v="4"/>
    <x v="7"/>
    <n v="72"/>
    <x v="1"/>
    <n v="437.47"/>
    <n v="4"/>
    <n v="0.2857142857142857"/>
    <n v="958.02"/>
    <n v="2"/>
    <n v="3.9100000000000003E-2"/>
  </r>
  <r>
    <x v="5"/>
    <x v="4"/>
    <x v="7"/>
    <n v="64"/>
    <x v="6"/>
    <n v="554.20000000000005"/>
    <n v="2"/>
    <n v="0.2857142857142857"/>
    <n v="3620.9"/>
    <n v="1"/>
    <n v="1.23E-2"/>
  </r>
  <r>
    <x v="6"/>
    <x v="4"/>
    <x v="7"/>
    <n v="76"/>
    <x v="7"/>
    <n v="293.93"/>
    <n v="2"/>
    <n v="9.5238095238095233E-2"/>
    <n v="2531.4"/>
    <n v="3"/>
    <n v="0.1012"/>
  </r>
  <r>
    <x v="7"/>
    <x v="4"/>
    <x v="7"/>
    <n v="64"/>
    <x v="11"/>
    <n v="255.17"/>
    <n v="6"/>
    <n v="0.66666666666666663"/>
    <n v="4136.6899999999996"/>
    <n v="2"/>
    <n v="3.8199999999999998E-2"/>
  </r>
  <r>
    <x v="8"/>
    <x v="4"/>
    <x v="7"/>
    <n v="26"/>
    <x v="10"/>
    <n v="391.73"/>
    <n v="7"/>
    <n v="0.41176470588235292"/>
    <n v="1166.55"/>
    <n v="1"/>
    <n v="6.1200000000000004E-2"/>
  </r>
  <r>
    <x v="9"/>
    <x v="4"/>
    <x v="7"/>
    <n v="65"/>
    <x v="8"/>
    <n v="324.26"/>
    <n v="7"/>
    <n v="0.53846153846153844"/>
    <n v="1044.8599999999999"/>
    <n v="3"/>
    <n v="3.5200000000000002E-2"/>
  </r>
  <r>
    <x v="10"/>
    <x v="4"/>
    <x v="7"/>
    <n v="22"/>
    <x v="11"/>
    <n v="211.28"/>
    <n v="8"/>
    <n v="0.88888888888888884"/>
    <n v="772.77"/>
    <n v="2"/>
    <n v="8.0600000000000005E-2"/>
  </r>
  <r>
    <x v="11"/>
    <x v="4"/>
    <x v="7"/>
    <n v="30"/>
    <x v="2"/>
    <n v="549.26"/>
    <n v="2"/>
    <n v="0.33333333333333331"/>
    <n v="3868.36"/>
    <n v="1"/>
    <n v="4.2800000000000005E-2"/>
  </r>
  <r>
    <x v="12"/>
    <x v="4"/>
    <x v="7"/>
    <n v="83"/>
    <x v="15"/>
    <n v="601.05999999999995"/>
    <n v="3"/>
    <n v="0.2"/>
    <n v="350.62"/>
    <n v="3"/>
    <n v="3.6600000000000001E-2"/>
  </r>
  <r>
    <x v="13"/>
    <x v="4"/>
    <x v="7"/>
    <n v="35"/>
    <x v="2"/>
    <n v="192.19"/>
    <n v="1"/>
    <n v="0.16666666666666666"/>
    <n v="3963.32"/>
    <n v="2"/>
    <n v="3.9800000000000002E-2"/>
  </r>
  <r>
    <x v="14"/>
    <x v="4"/>
    <x v="7"/>
    <n v="73"/>
    <x v="9"/>
    <n v="191.76"/>
    <n v="3"/>
    <n v="0.375"/>
    <n v="675.97"/>
    <n v="3"/>
    <n v="3.0200000000000001E-2"/>
  </r>
  <r>
    <x v="15"/>
    <x v="4"/>
    <x v="7"/>
    <n v="104"/>
    <x v="13"/>
    <n v="169.75"/>
    <n v="3"/>
    <n v="0.75"/>
    <n v="1255.83"/>
    <n v="2"/>
    <n v="7.7600000000000002E-2"/>
  </r>
  <r>
    <x v="16"/>
    <x v="4"/>
    <x v="7"/>
    <n v="71"/>
    <x v="2"/>
    <n v="87.5"/>
    <n v="3"/>
    <n v="0.5"/>
    <n v="3666.64"/>
    <n v="1"/>
    <n v="9.1300000000000006E-2"/>
  </r>
  <r>
    <x v="17"/>
    <x v="4"/>
    <x v="7"/>
    <n v="22"/>
    <x v="1"/>
    <n v="477.3"/>
    <n v="6"/>
    <n v="0.42857142857142855"/>
    <n v="3790.05"/>
    <n v="3"/>
    <n v="3.32E-2"/>
  </r>
  <r>
    <x v="18"/>
    <x v="4"/>
    <x v="7"/>
    <n v="85"/>
    <x v="10"/>
    <n v="187.72"/>
    <n v="5"/>
    <n v="0.29411764705882354"/>
    <n v="443.22"/>
    <n v="2"/>
    <n v="0.1016"/>
  </r>
  <r>
    <x v="19"/>
    <x v="4"/>
    <x v="7"/>
    <n v="80"/>
    <x v="8"/>
    <n v="504.59"/>
    <n v="0"/>
    <n v="0"/>
    <n v="1265.47"/>
    <n v="1"/>
    <n v="1E-3"/>
  </r>
  <r>
    <x v="20"/>
    <x v="4"/>
    <x v="7"/>
    <n v="18"/>
    <x v="0"/>
    <n v="262.26"/>
    <n v="1"/>
    <n v="8.3333333333333329E-2"/>
    <n v="1573.7"/>
    <n v="3"/>
    <n v="5.1299999999999998E-2"/>
  </r>
  <r>
    <x v="21"/>
    <x v="4"/>
    <x v="7"/>
    <n v="106"/>
    <x v="2"/>
    <n v="572.16"/>
    <n v="2"/>
    <n v="0.33333333333333331"/>
    <n v="3398.37"/>
    <n v="2"/>
    <n v="2.87E-2"/>
  </r>
  <r>
    <x v="22"/>
    <x v="4"/>
    <x v="7"/>
    <n v="71"/>
    <x v="11"/>
    <n v="172.96"/>
    <n v="6"/>
    <n v="0.66666666666666663"/>
    <n v="464.49"/>
    <n v="1"/>
    <n v="8.2699999999999996E-2"/>
  </r>
  <r>
    <x v="23"/>
    <x v="4"/>
    <x v="7"/>
    <n v="115"/>
    <x v="10"/>
    <n v="422.48"/>
    <n v="0"/>
    <n v="0"/>
    <n v="2681.51"/>
    <n v="3"/>
    <n v="2.5000000000000001E-2"/>
  </r>
  <r>
    <x v="24"/>
    <x v="4"/>
    <x v="7"/>
    <n v="34"/>
    <x v="12"/>
    <n v="565.11"/>
    <n v="5"/>
    <n v="0.5"/>
    <n v="222.62"/>
    <n v="2"/>
    <n v="7.1800000000000003E-2"/>
  </r>
  <r>
    <x v="25"/>
    <x v="4"/>
    <x v="7"/>
    <n v="40"/>
    <x v="10"/>
    <n v="355.83"/>
    <n v="6"/>
    <n v="0.35294117647058826"/>
    <n v="4155.8599999999997"/>
    <n v="1"/>
    <n v="8.8000000000000009E-2"/>
  </r>
  <r>
    <x v="0"/>
    <x v="4"/>
    <x v="8"/>
    <n v="51"/>
    <x v="15"/>
    <n v="349.71"/>
    <n v="8"/>
    <n v="0.53333333333333333"/>
    <n v="4017.54"/>
    <n v="1"/>
    <n v="2.92E-2"/>
  </r>
  <r>
    <x v="1"/>
    <x v="4"/>
    <x v="8"/>
    <n v="79"/>
    <x v="11"/>
    <n v="358.67"/>
    <n v="5"/>
    <n v="0.55555555555555558"/>
    <n v="3658.64"/>
    <n v="3"/>
    <n v="3.7499999999999999E-2"/>
  </r>
  <r>
    <x v="2"/>
    <x v="4"/>
    <x v="8"/>
    <n v="57"/>
    <x v="17"/>
    <n v="403.41"/>
    <n v="3"/>
    <n v="0.16666666666666666"/>
    <n v="3767.63"/>
    <n v="2"/>
    <n v="4.24E-2"/>
  </r>
  <r>
    <x v="3"/>
    <x v="4"/>
    <x v="8"/>
    <n v="24"/>
    <x v="6"/>
    <n v="79.62"/>
    <n v="4"/>
    <n v="0.5714285714285714"/>
    <n v="1650.69"/>
    <n v="1"/>
    <n v="3.0600000000000002E-2"/>
  </r>
  <r>
    <x v="4"/>
    <x v="4"/>
    <x v="8"/>
    <n v="77"/>
    <x v="16"/>
    <n v="487.47"/>
    <n v="4"/>
    <n v="0.36363636363636365"/>
    <n v="990.89"/>
    <n v="3"/>
    <n v="4.3299999999999998E-2"/>
  </r>
  <r>
    <x v="5"/>
    <x v="4"/>
    <x v="8"/>
    <n v="69"/>
    <x v="6"/>
    <n v="549.77"/>
    <n v="2"/>
    <n v="0.2857142857142857"/>
    <n v="3916.58"/>
    <n v="2"/>
    <n v="1.2E-2"/>
  </r>
  <r>
    <x v="6"/>
    <x v="4"/>
    <x v="8"/>
    <n v="74"/>
    <x v="17"/>
    <n v="306.89999999999998"/>
    <n v="3"/>
    <n v="0.16666666666666666"/>
    <n v="2254.16"/>
    <n v="1"/>
    <n v="9.64E-2"/>
  </r>
  <r>
    <x v="7"/>
    <x v="4"/>
    <x v="8"/>
    <n v="57"/>
    <x v="6"/>
    <n v="262.27999999999997"/>
    <n v="7"/>
    <n v="1"/>
    <n v="3929.11"/>
    <n v="3"/>
    <n v="4.4299999999999999E-2"/>
  </r>
  <r>
    <x v="8"/>
    <x v="4"/>
    <x v="8"/>
    <n v="26"/>
    <x v="7"/>
    <n v="359.51"/>
    <n v="9"/>
    <n v="0.42857142857142855"/>
    <n v="1187.3699999999999"/>
    <n v="2"/>
    <n v="5.33E-2"/>
  </r>
  <r>
    <x v="9"/>
    <x v="4"/>
    <x v="8"/>
    <n v="76"/>
    <x v="17"/>
    <n v="339.1"/>
    <n v="8"/>
    <n v="0.44444444444444442"/>
    <n v="924.79"/>
    <n v="1"/>
    <n v="3.6000000000000004E-2"/>
  </r>
  <r>
    <x v="10"/>
    <x v="4"/>
    <x v="8"/>
    <n v="22"/>
    <x v="6"/>
    <n v="182.47"/>
    <n v="7"/>
    <n v="1"/>
    <n v="779.86"/>
    <n v="3"/>
    <n v="7.2700000000000001E-2"/>
  </r>
  <r>
    <x v="11"/>
    <x v="4"/>
    <x v="8"/>
    <n v="38"/>
    <x v="2"/>
    <n v="553.89"/>
    <n v="6"/>
    <n v="1"/>
    <n v="4013.79"/>
    <n v="2"/>
    <n v="4.3200000000000002E-2"/>
  </r>
  <r>
    <x v="12"/>
    <x v="4"/>
    <x v="8"/>
    <n v="87"/>
    <x v="7"/>
    <n v="633.13"/>
    <n v="2"/>
    <n v="9.5238095238095233E-2"/>
    <n v="336.22"/>
    <n v="1"/>
    <n v="3.4500000000000003E-2"/>
  </r>
  <r>
    <x v="13"/>
    <x v="4"/>
    <x v="8"/>
    <n v="37"/>
    <x v="9"/>
    <n v="215.09"/>
    <n v="2"/>
    <n v="0.25"/>
    <n v="3424.83"/>
    <n v="3"/>
    <n v="4.07E-2"/>
  </r>
  <r>
    <x v="14"/>
    <x v="4"/>
    <x v="8"/>
    <n v="71"/>
    <x v="9"/>
    <n v="199.19"/>
    <n v="2"/>
    <n v="0.25"/>
    <n v="635.24"/>
    <n v="2"/>
    <n v="2.9500000000000002E-2"/>
  </r>
  <r>
    <x v="15"/>
    <x v="4"/>
    <x v="8"/>
    <n v="81"/>
    <x v="4"/>
    <n v="153.5"/>
    <n v="2"/>
    <n v="0.4"/>
    <n v="1307.47"/>
    <n v="1"/>
    <n v="7.3300000000000004E-2"/>
  </r>
  <r>
    <x v="16"/>
    <x v="4"/>
    <x v="8"/>
    <n v="93"/>
    <x v="4"/>
    <n v="77.12"/>
    <n v="2"/>
    <n v="0.4"/>
    <n v="3483.91"/>
    <n v="3"/>
    <n v="9.9000000000000005E-2"/>
  </r>
  <r>
    <x v="17"/>
    <x v="4"/>
    <x v="8"/>
    <n v="21"/>
    <x v="10"/>
    <n v="533.41999999999996"/>
    <n v="7"/>
    <n v="0.41176470588235292"/>
    <n v="3895.32"/>
    <n v="2"/>
    <n v="3.4000000000000002E-2"/>
  </r>
  <r>
    <x v="18"/>
    <x v="4"/>
    <x v="8"/>
    <n v="86"/>
    <x v="10"/>
    <n v="160.88999999999999"/>
    <n v="4"/>
    <n v="0.23529411764705882"/>
    <n v="418.33"/>
    <n v="1"/>
    <n v="8.8100000000000012E-2"/>
  </r>
  <r>
    <x v="19"/>
    <x v="4"/>
    <x v="8"/>
    <n v="72"/>
    <x v="16"/>
    <n v="459.86"/>
    <n v="0"/>
    <n v="0"/>
    <n v="1269.5999999999999"/>
    <n v="3"/>
    <n v="1E-3"/>
  </r>
  <r>
    <x v="20"/>
    <x v="4"/>
    <x v="8"/>
    <n v="18"/>
    <x v="8"/>
    <n v="290.14"/>
    <n v="2"/>
    <n v="0.15384615384615385"/>
    <n v="1444.65"/>
    <n v="2"/>
    <n v="5.4699999999999999E-2"/>
  </r>
  <r>
    <x v="21"/>
    <x v="4"/>
    <x v="8"/>
    <n v="105"/>
    <x v="6"/>
    <n v="587.83000000000004"/>
    <n v="1"/>
    <n v="0.14285714285714285"/>
    <n v="3601.93"/>
    <n v="1"/>
    <n v="3.2199999999999999E-2"/>
  </r>
  <r>
    <x v="22"/>
    <x v="4"/>
    <x v="8"/>
    <n v="75"/>
    <x v="9"/>
    <n v="177.88"/>
    <n v="7"/>
    <n v="0.875"/>
    <n v="507.1"/>
    <n v="3"/>
    <n v="9.5199999999999993E-2"/>
  </r>
  <r>
    <x v="23"/>
    <x v="4"/>
    <x v="8"/>
    <n v="98"/>
    <x v="0"/>
    <n v="406.95"/>
    <n v="0"/>
    <n v="0"/>
    <n v="2978.09"/>
    <n v="2"/>
    <n v="2.3700000000000002E-2"/>
  </r>
  <r>
    <x v="24"/>
    <x v="4"/>
    <x v="8"/>
    <n v="33"/>
    <x v="8"/>
    <n v="517.1"/>
    <n v="4"/>
    <n v="0.30769230769230771"/>
    <n v="250.08"/>
    <n v="1"/>
    <n v="6.5299999999999997E-2"/>
  </r>
  <r>
    <x v="25"/>
    <x v="4"/>
    <x v="8"/>
    <n v="35"/>
    <x v="17"/>
    <n v="348.92"/>
    <n v="7"/>
    <n v="0.3888888888888889"/>
    <n v="4381.3900000000003"/>
    <n v="1"/>
    <n v="8.8599999999999998E-2"/>
  </r>
  <r>
    <x v="0"/>
    <x v="4"/>
    <x v="9"/>
    <n v="74"/>
    <x v="3"/>
    <n v="308.51"/>
    <n v="7"/>
    <n v="0.4375"/>
    <n v="4267.5"/>
    <n v="3"/>
    <n v="2.9399999999999999E-2"/>
  </r>
  <r>
    <x v="1"/>
    <x v="4"/>
    <x v="9"/>
    <n v="72"/>
    <x v="12"/>
    <n v="362.58"/>
    <n v="5"/>
    <n v="0.5"/>
    <n v="3679.65"/>
    <n v="2"/>
    <n v="3.8599999999999995E-2"/>
  </r>
  <r>
    <x v="2"/>
    <x v="4"/>
    <x v="9"/>
    <n v="58"/>
    <x v="8"/>
    <n v="368.06"/>
    <n v="2"/>
    <n v="0.15384615384615385"/>
    <n v="3626.22"/>
    <n v="1"/>
    <n v="4.1399999999999999E-2"/>
  </r>
  <r>
    <x v="3"/>
    <x v="4"/>
    <x v="9"/>
    <n v="22"/>
    <x v="6"/>
    <n v="74.680000000000007"/>
    <n v="4"/>
    <n v="0.5714285714285714"/>
    <n v="1543.72"/>
    <n v="3"/>
    <n v="2.75E-2"/>
  </r>
  <r>
    <x v="4"/>
    <x v="4"/>
    <x v="9"/>
    <n v="74"/>
    <x v="15"/>
    <n v="460.2"/>
    <n v="4"/>
    <n v="0.26666666666666666"/>
    <n v="980.1"/>
    <n v="2"/>
    <n v="3.7900000000000003E-2"/>
  </r>
  <r>
    <x v="5"/>
    <x v="4"/>
    <x v="9"/>
    <n v="62"/>
    <x v="9"/>
    <n v="540.79999999999995"/>
    <n v="3"/>
    <n v="0.375"/>
    <n v="3928.71"/>
    <n v="1"/>
    <n v="1.09E-2"/>
  </r>
  <r>
    <x v="6"/>
    <x v="4"/>
    <x v="9"/>
    <n v="70"/>
    <x v="7"/>
    <n v="319.62"/>
    <n v="3"/>
    <n v="0.14285714285714285"/>
    <n v="2486.2199999999998"/>
    <n v="3"/>
    <n v="0.1036"/>
  </r>
  <r>
    <x v="7"/>
    <x v="4"/>
    <x v="9"/>
    <n v="51"/>
    <x v="6"/>
    <n v="248.37"/>
    <n v="7"/>
    <n v="1"/>
    <n v="3946.23"/>
    <n v="2"/>
    <n v="4.2699999999999995E-2"/>
  </r>
  <r>
    <x v="8"/>
    <x v="4"/>
    <x v="9"/>
    <n v="32"/>
    <x v="3"/>
    <n v="393.04"/>
    <n v="7"/>
    <n v="0.4375"/>
    <n v="1286.18"/>
    <n v="1"/>
    <n v="5.6399999999999999E-2"/>
  </r>
  <r>
    <x v="9"/>
    <x v="4"/>
    <x v="9"/>
    <n v="71"/>
    <x v="3"/>
    <n v="323.56"/>
    <n v="9"/>
    <n v="0.5625"/>
    <n v="957.05"/>
    <n v="3"/>
    <n v="3.1099999999999999E-2"/>
  </r>
  <r>
    <x v="10"/>
    <x v="4"/>
    <x v="9"/>
    <n v="17"/>
    <x v="6"/>
    <n v="205.3"/>
    <n v="4"/>
    <n v="0.5714285714285714"/>
    <n v="762.2"/>
    <n v="2"/>
    <n v="7.2300000000000003E-2"/>
  </r>
  <r>
    <x v="11"/>
    <x v="4"/>
    <x v="9"/>
    <n v="35"/>
    <x v="2"/>
    <n v="544.78"/>
    <n v="5"/>
    <n v="0.83333333333333337"/>
    <n v="3420.99"/>
    <n v="3"/>
    <n v="4.0500000000000001E-2"/>
  </r>
  <r>
    <x v="12"/>
    <x v="4"/>
    <x v="9"/>
    <n v="73"/>
    <x v="10"/>
    <n v="557.29999999999995"/>
    <n v="3"/>
    <n v="0.17647058823529413"/>
    <n v="376.66"/>
    <n v="2"/>
    <n v="3.4700000000000002E-2"/>
  </r>
  <r>
    <x v="13"/>
    <x v="4"/>
    <x v="9"/>
    <n v="27"/>
    <x v="2"/>
    <n v="202.37"/>
    <n v="1"/>
    <n v="0.16666666666666666"/>
    <n v="3781.81"/>
    <n v="1"/>
    <n v="4.3099999999999999E-2"/>
  </r>
  <r>
    <x v="14"/>
    <x v="4"/>
    <x v="9"/>
    <n v="49"/>
    <x v="6"/>
    <n v="204.14"/>
    <n v="3"/>
    <n v="0.42857142857142855"/>
    <n v="636.65"/>
    <n v="3"/>
    <n v="2.9500000000000002E-2"/>
  </r>
  <r>
    <x v="15"/>
    <x v="4"/>
    <x v="9"/>
    <n v="106"/>
    <x v="4"/>
    <n v="163.38"/>
    <n v="1"/>
    <n v="0.2"/>
    <n v="1148.1400000000001"/>
    <n v="2"/>
    <n v="7.8799999999999995E-2"/>
  </r>
  <r>
    <x v="16"/>
    <x v="4"/>
    <x v="9"/>
    <n v="102"/>
    <x v="4"/>
    <n v="86.37"/>
    <n v="5"/>
    <n v="1"/>
    <n v="3851.19"/>
    <n v="1"/>
    <n v="8.3800000000000013E-2"/>
  </r>
  <r>
    <x v="17"/>
    <x v="4"/>
    <x v="9"/>
    <n v="21"/>
    <x v="1"/>
    <n v="537.36"/>
    <n v="7"/>
    <n v="0.5"/>
    <n v="3767.78"/>
    <n v="3"/>
    <n v="3.44E-2"/>
  </r>
  <r>
    <x v="18"/>
    <x v="4"/>
    <x v="9"/>
    <n v="104"/>
    <x v="14"/>
    <n v="181.9"/>
    <n v="4"/>
    <n v="0.2"/>
    <n v="400.92"/>
    <n v="2"/>
    <n v="0.10009999999999999"/>
  </r>
  <r>
    <x v="19"/>
    <x v="4"/>
    <x v="9"/>
    <n v="64"/>
    <x v="15"/>
    <n v="514.38"/>
    <n v="0"/>
    <n v="0"/>
    <n v="1220.5899999999999"/>
    <n v="1"/>
    <n v="1E-3"/>
  </r>
  <r>
    <x v="20"/>
    <x v="4"/>
    <x v="9"/>
    <n v="21"/>
    <x v="15"/>
    <n v="309.75"/>
    <n v="2"/>
    <n v="0.13333333333333333"/>
    <n v="1649.09"/>
    <n v="3"/>
    <n v="5.0999999999999997E-2"/>
  </r>
  <r>
    <x v="21"/>
    <x v="4"/>
    <x v="9"/>
    <n v="108"/>
    <x v="2"/>
    <n v="515.27"/>
    <n v="2"/>
    <n v="0.33333333333333331"/>
    <n v="3183.87"/>
    <n v="2"/>
    <n v="3.04E-2"/>
  </r>
  <r>
    <x v="22"/>
    <x v="4"/>
    <x v="9"/>
    <n v="63"/>
    <x v="12"/>
    <n v="194.21"/>
    <n v="7"/>
    <n v="0.7"/>
    <n v="508.84"/>
    <n v="1"/>
    <n v="9.3900000000000011E-2"/>
  </r>
  <r>
    <x v="23"/>
    <x v="4"/>
    <x v="9"/>
    <n v="85"/>
    <x v="15"/>
    <n v="400.65"/>
    <n v="0"/>
    <n v="0"/>
    <n v="2890.62"/>
    <n v="1"/>
    <n v="2.4700000000000003E-2"/>
  </r>
  <r>
    <x v="24"/>
    <x v="4"/>
    <x v="9"/>
    <n v="36"/>
    <x v="12"/>
    <n v="535.44000000000005"/>
    <n v="4"/>
    <n v="0.4"/>
    <n v="241.26"/>
    <n v="3"/>
    <n v="6.3E-2"/>
  </r>
  <r>
    <x v="25"/>
    <x v="4"/>
    <x v="9"/>
    <n v="34"/>
    <x v="0"/>
    <n v="356.4"/>
    <n v="8"/>
    <n v="0.66666666666666663"/>
    <n v="4111.76"/>
    <n v="2"/>
    <n v="8.4700000000000011E-2"/>
  </r>
  <r>
    <x v="0"/>
    <x v="4"/>
    <x v="10"/>
    <n v="67"/>
    <x v="0"/>
    <n v="352.6"/>
    <n v="6"/>
    <n v="0.5"/>
    <n v="4402.41"/>
    <n v="1"/>
    <n v="2.8999999999999998E-2"/>
  </r>
  <r>
    <x v="1"/>
    <x v="4"/>
    <x v="10"/>
    <n v="76"/>
    <x v="1"/>
    <n v="351.42"/>
    <n v="4"/>
    <n v="0.2857142857142857"/>
    <n v="3917.99"/>
    <n v="3"/>
    <n v="4.2999999999999997E-2"/>
  </r>
  <r>
    <x v="2"/>
    <x v="4"/>
    <x v="10"/>
    <n v="53"/>
    <x v="10"/>
    <n v="404.22"/>
    <n v="2"/>
    <n v="0.11764705882352941"/>
    <n v="3669.4"/>
    <n v="2"/>
    <n v="4.4500000000000005E-2"/>
  </r>
  <r>
    <x v="3"/>
    <x v="4"/>
    <x v="10"/>
    <n v="22"/>
    <x v="2"/>
    <n v="80.02"/>
    <n v="3"/>
    <n v="0.5"/>
    <n v="1476.69"/>
    <n v="1"/>
    <n v="2.9300000000000003E-2"/>
  </r>
  <r>
    <x v="4"/>
    <x v="4"/>
    <x v="10"/>
    <n v="77"/>
    <x v="3"/>
    <n v="502.41"/>
    <n v="5"/>
    <n v="0.3125"/>
    <n v="1093.75"/>
    <n v="3"/>
    <n v="3.8399999999999997E-2"/>
  </r>
  <r>
    <x v="5"/>
    <x v="4"/>
    <x v="10"/>
    <n v="52"/>
    <x v="2"/>
    <n v="492.23"/>
    <n v="2"/>
    <n v="0.33333333333333331"/>
    <n v="3775.84"/>
    <n v="2"/>
    <n v="1.1000000000000001E-2"/>
  </r>
  <r>
    <x v="6"/>
    <x v="4"/>
    <x v="10"/>
    <n v="74"/>
    <x v="10"/>
    <n v="284.91000000000003"/>
    <n v="3"/>
    <n v="0.17647058823529413"/>
    <n v="2481.64"/>
    <n v="1"/>
    <n v="9.0500000000000011E-2"/>
  </r>
  <r>
    <x v="7"/>
    <x v="4"/>
    <x v="10"/>
    <n v="50"/>
    <x v="11"/>
    <n v="237.95"/>
    <n v="5"/>
    <n v="0.55555555555555558"/>
    <n v="3982.36"/>
    <n v="3"/>
    <n v="4.4299999999999999E-2"/>
  </r>
  <r>
    <x v="8"/>
    <x v="4"/>
    <x v="10"/>
    <n v="30"/>
    <x v="7"/>
    <n v="372.34"/>
    <n v="7"/>
    <n v="0.33333333333333331"/>
    <n v="1172.04"/>
    <n v="2"/>
    <n v="5.4800000000000001E-2"/>
  </r>
  <r>
    <x v="9"/>
    <x v="4"/>
    <x v="10"/>
    <n v="74"/>
    <x v="8"/>
    <n v="324.77999999999997"/>
    <n v="7"/>
    <n v="0.53846153846153844"/>
    <n v="995.6"/>
    <n v="1"/>
    <n v="3.0699999999999998E-2"/>
  </r>
  <r>
    <x v="10"/>
    <x v="4"/>
    <x v="10"/>
    <n v="23"/>
    <x v="6"/>
    <n v="190.12"/>
    <n v="4"/>
    <n v="0.5714285714285714"/>
    <n v="788.65"/>
    <n v="3"/>
    <n v="7.2000000000000008E-2"/>
  </r>
  <r>
    <x v="11"/>
    <x v="4"/>
    <x v="10"/>
    <n v="32"/>
    <x v="6"/>
    <n v="563.41999999999996"/>
    <n v="6"/>
    <n v="0.8571428571428571"/>
    <n v="3543.71"/>
    <n v="2"/>
    <n v="4.3799999999999999E-2"/>
  </r>
  <r>
    <x v="12"/>
    <x v="4"/>
    <x v="10"/>
    <n v="59"/>
    <x v="7"/>
    <n v="633.37"/>
    <n v="2"/>
    <n v="9.5238095238095233E-2"/>
    <n v="358.29"/>
    <n v="1"/>
    <n v="3.27E-2"/>
  </r>
  <r>
    <x v="13"/>
    <x v="4"/>
    <x v="10"/>
    <n v="30"/>
    <x v="2"/>
    <n v="209.84"/>
    <n v="1"/>
    <n v="0.16666666666666666"/>
    <n v="3534.1"/>
    <n v="3"/>
    <n v="4.2000000000000003E-2"/>
  </r>
  <r>
    <x v="14"/>
    <x v="4"/>
    <x v="10"/>
    <n v="65"/>
    <x v="11"/>
    <n v="220.46"/>
    <n v="3"/>
    <n v="0.33333333333333331"/>
    <n v="707.75"/>
    <n v="2"/>
    <n v="2.76E-2"/>
  </r>
  <r>
    <x v="15"/>
    <x v="4"/>
    <x v="10"/>
    <n v="100"/>
    <x v="2"/>
    <n v="153.34"/>
    <n v="3"/>
    <n v="0.5"/>
    <n v="1248.54"/>
    <n v="1"/>
    <n v="7.9000000000000001E-2"/>
  </r>
  <r>
    <x v="16"/>
    <x v="4"/>
    <x v="10"/>
    <n v="81"/>
    <x v="6"/>
    <n v="79.62"/>
    <n v="7"/>
    <n v="1"/>
    <n v="3892.76"/>
    <n v="3"/>
    <n v="9.74E-2"/>
  </r>
  <r>
    <x v="17"/>
    <x v="4"/>
    <x v="10"/>
    <n v="26"/>
    <x v="10"/>
    <n v="504.54"/>
    <n v="8"/>
    <n v="0.47058823529411764"/>
    <n v="3359.77"/>
    <n v="2"/>
    <n v="3.2000000000000001E-2"/>
  </r>
  <r>
    <x v="18"/>
    <x v="4"/>
    <x v="10"/>
    <n v="96"/>
    <x v="3"/>
    <n v="161.69"/>
    <n v="5"/>
    <n v="0.3125"/>
    <n v="392.05"/>
    <n v="1"/>
    <n v="9.5700000000000007E-2"/>
  </r>
  <r>
    <x v="19"/>
    <x v="4"/>
    <x v="10"/>
    <n v="72"/>
    <x v="0"/>
    <n v="474.28"/>
    <n v="1"/>
    <n v="8.3333333333333329E-2"/>
    <n v="1097.5999999999999"/>
    <n v="3"/>
    <n v="1E-3"/>
  </r>
  <r>
    <x v="20"/>
    <x v="4"/>
    <x v="10"/>
    <n v="18"/>
    <x v="15"/>
    <n v="268.94"/>
    <n v="1"/>
    <n v="6.6666666666666666E-2"/>
    <n v="1469.71"/>
    <n v="2"/>
    <n v="5.0900000000000001E-2"/>
  </r>
  <r>
    <x v="21"/>
    <x v="4"/>
    <x v="10"/>
    <n v="87"/>
    <x v="4"/>
    <n v="601.28"/>
    <n v="2"/>
    <n v="0.4"/>
    <n v="3491.19"/>
    <n v="1"/>
    <n v="2.9700000000000001E-2"/>
  </r>
  <r>
    <x v="22"/>
    <x v="4"/>
    <x v="10"/>
    <n v="73"/>
    <x v="9"/>
    <n v="182.48"/>
    <n v="8"/>
    <n v="1"/>
    <n v="548.46"/>
    <n v="1"/>
    <n v="8.8200000000000001E-2"/>
  </r>
  <r>
    <x v="23"/>
    <x v="4"/>
    <x v="10"/>
    <n v="97"/>
    <x v="1"/>
    <n v="368.16"/>
    <n v="0"/>
    <n v="0"/>
    <n v="3020.19"/>
    <n v="3"/>
    <n v="2.5099999999999997E-2"/>
  </r>
  <r>
    <x v="24"/>
    <x v="4"/>
    <x v="10"/>
    <n v="28"/>
    <x v="0"/>
    <n v="565.51"/>
    <n v="4"/>
    <n v="0.33333333333333331"/>
    <n v="231.16"/>
    <n v="2"/>
    <n v="6.2699999999999992E-2"/>
  </r>
  <r>
    <x v="25"/>
    <x v="4"/>
    <x v="10"/>
    <n v="41"/>
    <x v="8"/>
    <n v="370.44"/>
    <n v="9"/>
    <n v="0.69230769230769229"/>
    <n v="4484.96"/>
    <n v="1"/>
    <n v="8.5199999999999998E-2"/>
  </r>
  <r>
    <x v="0"/>
    <x v="4"/>
    <x v="11"/>
    <n v="61"/>
    <x v="8"/>
    <n v="356.61"/>
    <n v="7"/>
    <n v="0.53846153846153844"/>
    <n v="4099.6400000000003"/>
    <n v="3"/>
    <n v="2.9600000000000001E-2"/>
  </r>
  <r>
    <x v="1"/>
    <x v="4"/>
    <x v="11"/>
    <n v="80"/>
    <x v="8"/>
    <n v="369.46"/>
    <n v="4"/>
    <n v="0.30769230769230771"/>
    <n v="3996.04"/>
    <n v="2"/>
    <n v="3.7499999999999999E-2"/>
  </r>
  <r>
    <x v="2"/>
    <x v="4"/>
    <x v="11"/>
    <n v="51"/>
    <x v="1"/>
    <n v="419.93"/>
    <n v="2"/>
    <n v="0.14285714285714285"/>
    <n v="3543.6"/>
    <n v="1"/>
    <n v="4.6300000000000001E-2"/>
  </r>
  <r>
    <x v="3"/>
    <x v="4"/>
    <x v="11"/>
    <n v="20"/>
    <x v="4"/>
    <n v="71.41"/>
    <n v="3"/>
    <n v="0.6"/>
    <n v="1527.27"/>
    <n v="3"/>
    <n v="2.7000000000000003E-2"/>
  </r>
  <r>
    <x v="4"/>
    <x v="4"/>
    <x v="11"/>
    <n v="101"/>
    <x v="1"/>
    <n v="503.93"/>
    <n v="5"/>
    <n v="0.35714285714285715"/>
    <n v="1116.6099999999999"/>
    <n v="2"/>
    <n v="3.7000000000000005E-2"/>
  </r>
  <r>
    <x v="5"/>
    <x v="4"/>
    <x v="11"/>
    <n v="70"/>
    <x v="2"/>
    <n v="488.97"/>
    <n v="3"/>
    <n v="0.5"/>
    <n v="3767.09"/>
    <n v="1"/>
    <n v="1.0800000000000001E-2"/>
  </r>
  <r>
    <x v="6"/>
    <x v="4"/>
    <x v="11"/>
    <n v="84"/>
    <x v="5"/>
    <n v="301.2"/>
    <n v="2"/>
    <n v="0.10526315789473684"/>
    <n v="2608.4699999999998"/>
    <n v="3"/>
    <n v="0.1032"/>
  </r>
  <r>
    <x v="7"/>
    <x v="4"/>
    <x v="11"/>
    <n v="50"/>
    <x v="2"/>
    <n v="219.19"/>
    <n v="4"/>
    <n v="0.66666666666666663"/>
    <n v="3836.95"/>
    <n v="2"/>
    <n v="3.8699999999999998E-2"/>
  </r>
  <r>
    <x v="8"/>
    <x v="4"/>
    <x v="11"/>
    <n v="28"/>
    <x v="5"/>
    <n v="352.06"/>
    <n v="9"/>
    <n v="0.47368421052631576"/>
    <n v="1107.51"/>
    <n v="3"/>
    <n v="5.5E-2"/>
  </r>
  <r>
    <x v="9"/>
    <x v="4"/>
    <x v="11"/>
    <n v="69"/>
    <x v="3"/>
    <n v="337.7"/>
    <n v="9"/>
    <n v="0.5625"/>
    <n v="947.47"/>
    <n v="2"/>
    <n v="3.56E-2"/>
  </r>
  <r>
    <x v="10"/>
    <x v="4"/>
    <x v="11"/>
    <n v="18"/>
    <x v="2"/>
    <n v="212.39"/>
    <n v="3"/>
    <n v="0.5"/>
    <n v="730.81"/>
    <n v="1"/>
    <n v="8.6699999999999999E-2"/>
  </r>
  <r>
    <x v="11"/>
    <x v="4"/>
    <x v="11"/>
    <n v="40"/>
    <x v="6"/>
    <n v="486.93"/>
    <n v="7"/>
    <n v="1"/>
    <n v="3643.63"/>
    <n v="3"/>
    <n v="4.0199999999999993E-2"/>
  </r>
  <r>
    <x v="12"/>
    <x v="4"/>
    <x v="11"/>
    <n v="77"/>
    <x v="3"/>
    <n v="539.26"/>
    <n v="3"/>
    <n v="0.1875"/>
    <n v="379.83"/>
    <n v="2"/>
    <n v="3.7999999999999999E-2"/>
  </r>
  <r>
    <x v="13"/>
    <x v="4"/>
    <x v="11"/>
    <n v="31"/>
    <x v="2"/>
    <n v="191.66"/>
    <n v="2"/>
    <n v="0.33333333333333331"/>
    <n v="3753.06"/>
    <n v="1"/>
    <n v="3.8300000000000001E-2"/>
  </r>
  <r>
    <x v="14"/>
    <x v="4"/>
    <x v="11"/>
    <n v="57"/>
    <x v="6"/>
    <n v="190.08"/>
    <n v="2"/>
    <n v="0.2857142857142857"/>
    <n v="649.97"/>
    <n v="3"/>
    <n v="2.8799999999999999E-2"/>
  </r>
  <r>
    <x v="15"/>
    <x v="4"/>
    <x v="11"/>
    <n v="88"/>
    <x v="4"/>
    <n v="168.89"/>
    <n v="3"/>
    <n v="0.6"/>
    <n v="1153.93"/>
    <n v="2"/>
    <n v="8.2500000000000004E-2"/>
  </r>
  <r>
    <x v="16"/>
    <x v="4"/>
    <x v="11"/>
    <n v="74"/>
    <x v="2"/>
    <n v="87.83"/>
    <n v="6"/>
    <n v="1"/>
    <n v="3741.27"/>
    <n v="1"/>
    <n v="9.9700000000000011E-2"/>
  </r>
  <r>
    <x v="17"/>
    <x v="4"/>
    <x v="11"/>
    <n v="26"/>
    <x v="8"/>
    <n v="543.15"/>
    <n v="6"/>
    <n v="0.46153846153846156"/>
    <n v="3793.56"/>
    <n v="3"/>
    <n v="3.56E-2"/>
  </r>
  <r>
    <x v="18"/>
    <x v="4"/>
    <x v="11"/>
    <n v="99"/>
    <x v="15"/>
    <n v="181.12"/>
    <n v="5"/>
    <n v="0.33333333333333331"/>
    <n v="454.09"/>
    <n v="2"/>
    <n v="9.3599999999999989E-2"/>
  </r>
  <r>
    <x v="19"/>
    <x v="4"/>
    <x v="11"/>
    <n v="74"/>
    <x v="1"/>
    <n v="508.85"/>
    <n v="1"/>
    <n v="7.1428571428571425E-2"/>
    <n v="1182.6300000000001"/>
    <n v="1"/>
    <n v="8.9999999999999998E-4"/>
  </r>
  <r>
    <x v="20"/>
    <x v="4"/>
    <x v="11"/>
    <n v="21"/>
    <x v="10"/>
    <n v="297.83999999999997"/>
    <n v="1"/>
    <n v="5.8823529411764705E-2"/>
    <n v="1553.7"/>
    <n v="1"/>
    <n v="5.0700000000000002E-2"/>
  </r>
  <r>
    <x v="21"/>
    <x v="4"/>
    <x v="11"/>
    <n v="94"/>
    <x v="2"/>
    <n v="537.26"/>
    <n v="1"/>
    <n v="0.16666666666666666"/>
    <n v="3665.55"/>
    <n v="3"/>
    <n v="3.0800000000000001E-2"/>
  </r>
  <r>
    <x v="22"/>
    <x v="4"/>
    <x v="11"/>
    <n v="83"/>
    <x v="11"/>
    <n v="188.49"/>
    <n v="7"/>
    <n v="0.77777777777777779"/>
    <n v="545.09"/>
    <n v="2"/>
    <n v="8.5600000000000009E-2"/>
  </r>
  <r>
    <x v="23"/>
    <x v="4"/>
    <x v="11"/>
    <n v="84"/>
    <x v="1"/>
    <n v="370.36"/>
    <n v="0"/>
    <n v="0"/>
    <n v="2605.02"/>
    <n v="1"/>
    <n v="2.5499999999999998E-2"/>
  </r>
  <r>
    <x v="24"/>
    <x v="4"/>
    <x v="11"/>
    <n v="32"/>
    <x v="12"/>
    <n v="500.83"/>
    <n v="4"/>
    <n v="0.4"/>
    <n v="239.13"/>
    <n v="3"/>
    <n v="6.1900000000000004E-2"/>
  </r>
  <r>
    <x v="25"/>
    <x v="4"/>
    <x v="11"/>
    <n v="39"/>
    <x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25262D-A5A8-4634-8C23-5B9E2B95B7C6}" name="PivotTable3"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24">
  <location ref="A9:B21" firstHeaderRow="1" firstDataRow="1" firstDataCol="1"/>
  <pivotFields count="12">
    <pivotField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numFmtId="9" outline="0" showAll="0"/>
    <pivotField dataField="1" compact="0" outline="0" showAll="0"/>
    <pivotField compact="0" outline="0" showAll="0"/>
    <pivotField compact="0" numFmtId="9"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2">
    <i>
      <x v="1"/>
    </i>
    <i>
      <x v="2"/>
    </i>
    <i>
      <x v="3"/>
    </i>
    <i>
      <x v="4"/>
    </i>
    <i>
      <x v="5"/>
    </i>
    <i>
      <x v="6"/>
    </i>
    <i>
      <x v="7"/>
    </i>
    <i>
      <x v="8"/>
    </i>
    <i>
      <x v="9"/>
    </i>
    <i>
      <x v="10"/>
    </i>
    <i>
      <x v="11"/>
    </i>
    <i>
      <x v="12"/>
    </i>
  </rowItems>
  <colItems count="1">
    <i/>
  </colItems>
  <dataFields count="1">
    <dataField name="Sum of Deal Value ($)" fld="8" baseField="0" baseItem="0"/>
  </dataFields>
  <chartFormats count="1">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3E8A49-B98D-4D3F-AA46-435EDDACDB50}"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2">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3" baseField="0" baseItem="0"/>
    <dataField name="Sum of Calls Reached" fld="4" baseField="0" baseItem="0"/>
    <dataField name="Sum of Deals Closed" fld="6" baseField="0" baseItem="0"/>
    <dataField name="Sum of Deal Valu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8A343-4C5B-4E36-A4C4-0CA0E871ABB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9:G15" firstHeaderRow="1" firstDataRow="1" firstDataCol="1"/>
  <pivotFields count="12">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pivotField showAll="0"/>
    <pivotField showAll="0"/>
    <pivotField dataField="1" showAll="0"/>
    <pivotField showAll="0"/>
    <pivotField numFmtId="9" showAll="0"/>
    <pivotField showAll="0"/>
    <pivotField showAll="0"/>
    <pivotField numFmtId="9" showAll="0"/>
    <pivotField showAll="0" defaultSubtotal="0"/>
  </pivotFields>
  <rowFields count="1">
    <field x="1"/>
  </rowFields>
  <rowItems count="6">
    <i>
      <x/>
    </i>
    <i>
      <x v="1"/>
    </i>
    <i>
      <x v="2"/>
    </i>
    <i>
      <x v="3"/>
    </i>
    <i>
      <x v="4"/>
    </i>
    <i t="grand">
      <x/>
    </i>
  </rowItems>
  <colItems count="1">
    <i/>
  </colItems>
  <dataFields count="1">
    <dataField name="Sum of Average Duration (sec)"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20C528-BC10-4FF3-BDB6-B2B6CE51F944}" name="PivotTable2"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outline="1" outlineData="1" multipleFieldFilters="0" rowHeaderCaption="Name">
  <location ref="C6:G32" firstHeaderRow="0" firstDataRow="1" firstDataCol="1"/>
  <pivotFields count="12">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18">
    <format dxfId="161">
      <pivotArea type="all" dataOnly="0" outline="0" fieldPosition="0"/>
    </format>
    <format dxfId="160">
      <pivotArea outline="0" collapsedLevelsAreSubtotals="1" fieldPosition="0"/>
    </format>
    <format dxfId="159">
      <pivotArea field="0" type="button" dataOnly="0" labelOnly="1" outline="0" axis="axisRow" fieldPosition="0"/>
    </format>
    <format dxfId="158">
      <pivotArea dataOnly="0" labelOnly="1" fieldPosition="0">
        <references count="1">
          <reference field="0" count="0"/>
        </references>
      </pivotArea>
    </format>
    <format dxfId="157">
      <pivotArea dataOnly="0" labelOnly="1" grandRow="1" outline="0" fieldPosition="0"/>
    </format>
    <format dxfId="156">
      <pivotArea dataOnly="0" labelOnly="1" outline="0" fieldPosition="0">
        <references count="1">
          <reference field="4294967294" count="4">
            <x v="0"/>
            <x v="1"/>
            <x v="2"/>
            <x v="3"/>
          </reference>
        </references>
      </pivotArea>
    </format>
    <format dxfId="155">
      <pivotArea type="all" dataOnly="0" outline="0" fieldPosition="0"/>
    </format>
    <format dxfId="154">
      <pivotArea outline="0" collapsedLevelsAreSubtotals="1" fieldPosition="0"/>
    </format>
    <format dxfId="153">
      <pivotArea field="0" type="button" dataOnly="0" labelOnly="1" outline="0" axis="axisRow" fieldPosition="0"/>
    </format>
    <format dxfId="152">
      <pivotArea dataOnly="0" labelOnly="1" fieldPosition="0">
        <references count="1">
          <reference field="0" count="0"/>
        </references>
      </pivotArea>
    </format>
    <format dxfId="151">
      <pivotArea dataOnly="0" labelOnly="1" grandRow="1" outline="0" fieldPosition="0"/>
    </format>
    <format dxfId="150">
      <pivotArea dataOnly="0" labelOnly="1" outline="0" fieldPosition="0">
        <references count="1">
          <reference field="4294967294" count="4">
            <x v="0"/>
            <x v="1"/>
            <x v="2"/>
            <x v="3"/>
          </reference>
        </references>
      </pivotArea>
    </format>
    <format dxfId="149">
      <pivotArea type="all" dataOnly="0" outline="0" fieldPosition="0"/>
    </format>
    <format dxfId="148">
      <pivotArea outline="0" collapsedLevelsAreSubtotals="1" fieldPosition="0"/>
    </format>
    <format dxfId="147">
      <pivotArea field="0" type="button" dataOnly="0" labelOnly="1" outline="0" axis="axisRow" fieldPosition="0"/>
    </format>
    <format dxfId="146">
      <pivotArea dataOnly="0" labelOnly="1" fieldPosition="0">
        <references count="1">
          <reference field="0" count="0"/>
        </references>
      </pivotArea>
    </format>
    <format dxfId="145">
      <pivotArea dataOnly="0" labelOnly="1" grandRow="1" outline="0" fieldPosition="0"/>
    </format>
    <format dxfId="144">
      <pivotArea dataOnly="0" labelOnly="1" outline="0" fieldPosition="0">
        <references count="1">
          <reference field="4294967294" count="4">
            <x v="0"/>
            <x v="1"/>
            <x v="2"/>
            <x v="3"/>
          </reference>
        </references>
      </pivotArea>
    </format>
  </formats>
  <conditionalFormats count="4">
    <conditionalFormat priority="1">
      <pivotAreas count="1">
        <pivotArea type="data" outline="0" collapsedLevelsAreSubtotals="1" fieldPosition="0">
          <references count="1">
            <reference field="4294967294" count="1" selected="0">
              <x v="3"/>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B9F7AE3-6350-48E3-85E5-FF81DE791398}" sourceName="Name">
  <pivotTables>
    <pivotTable tabId="3" name="PivotTable1"/>
    <pivotTable tabId="3" name="PivotTable3"/>
    <pivotTable tabId="3" name="PivotTable4"/>
    <pivotTable tabId="2" name="PivotTable2"/>
  </pivotTables>
  <data>
    <tabular pivotCacheId="1948969847">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C29CC514-8A12-4B68-AA42-4A4070FA2B70}" cache="Slicer_Name" caption="Name" startItem="9"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61913-8B3E-4D3B-89B3-9072629BD5F8}" name="Table2" displayName="Table2" ref="A1:K178" totalsRowShown="0">
  <autoFilter ref="A1:K178" xr:uid="{9F3679C1-EFAF-4FF0-86D3-90950DCA5BC3}"/>
  <tableColumns count="11">
    <tableColumn id="1" xr3:uid="{54172196-A99C-4005-88EA-F600D3CC656D}" name="Name"/>
    <tableColumn id="2" xr3:uid="{D7104216-DD25-4524-A521-11403ABA81ED}" name="Region"/>
    <tableColumn id="3" xr3:uid="{62360888-382D-46DC-B52D-BFD44B02210F}" name="Date" dataDxfId="165"/>
    <tableColumn id="4" xr3:uid="{F1206C25-9605-47A2-9CE2-43750BC2E6D0}" name="Total Calls"/>
    <tableColumn id="5" xr3:uid="{D1510D57-BAB0-49D5-96AC-554F685DDEFB}" name="Calls Reached"/>
    <tableColumn id="6" xr3:uid="{4FCE8A88-3502-43FE-B09D-2B054AD61B33}" name="Average Duration (sec)"/>
    <tableColumn id="7" xr3:uid="{043174B7-336C-4C08-A6A5-944CF78EC56D}" name="Deals Closed"/>
    <tableColumn id="8" xr3:uid="{B9F9A135-C29A-4380-977F-486DCD11272B}" name="Call Conversion Rate (%)"/>
    <tableColumn id="9" xr3:uid="{5108DDD6-F90B-4E05-BF91-76E5163B392A}" name="Deal Value ($)"/>
    <tableColumn id="10" xr3:uid="{EED1F56F-E9F5-420F-8F36-E22ED5AB6504}" name="Service Level"/>
    <tableColumn id="11" xr3:uid="{834BB015-AB0B-4453-A81A-80EC9C9E3DC8}" name="Call Drop Rat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F5357A-0BD7-47FD-AB7C-BC07595E9841}" name="SalesData3" displayName="SalesData3" ref="A1:K313" totalsRowShown="0">
  <autoFilter ref="A1:K313" xr:uid="{35F5357A-0BD7-47FD-AB7C-BC07595E9841}"/>
  <tableColumns count="11">
    <tableColumn id="1" xr3:uid="{EBECE2CD-30F4-4427-BA4B-36062D9A9ADF}" name="Name"/>
    <tableColumn id="11" xr3:uid="{B68A0D89-F833-430B-84C2-DDE3297D1D94}" name="Region"/>
    <tableColumn id="2" xr3:uid="{01B0ABB0-7F18-447A-B319-5F4FB6185882}" name="Date" dataDxfId="164"/>
    <tableColumn id="3" xr3:uid="{4540A122-A5ED-4BB3-9980-E461459259CA}" name="Total Calls"/>
    <tableColumn id="4" xr3:uid="{10652F7B-FB3B-4A2B-9EB1-3E42E8E96BB0}" name="Calls Reached"/>
    <tableColumn id="5" xr3:uid="{58521263-685A-427D-9E10-D72B29E14357}" name="Average Duration (sec)"/>
    <tableColumn id="6" xr3:uid="{8A64E234-DE0C-44E2-A086-266E4DA2DB7B}" name="Deals Closed"/>
    <tableColumn id="7" xr3:uid="{1F11A5F8-A69C-451B-987B-DDF973E4A52D}" name="Call Conversion Rate (%)" dataDxfId="163"/>
    <tableColumn id="8" xr3:uid="{8BE17B82-7DED-42AF-980F-1961BBB36866}" name="Deal Value ($)"/>
    <tableColumn id="10" xr3:uid="{A348AB84-486B-455C-8DCC-71923DE1C302}" name="Service Level"/>
    <tableColumn id="9" xr3:uid="{3ECA0D4A-53B3-4605-8D50-04DC87016F77}" name="Call Drop Rate (%)" dataDxfId="1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C25D-56E2-4B0C-941A-8B325D227E48}">
  <dimension ref="A1:K178"/>
  <sheetViews>
    <sheetView workbookViewId="0">
      <selection activeCell="D10" sqref="D10:D11"/>
    </sheetView>
  </sheetViews>
  <sheetFormatPr defaultRowHeight="14"/>
  <cols>
    <col min="4" max="4" width="11.58203125" customWidth="1"/>
    <col min="5" max="5" width="14.75" customWidth="1"/>
    <col min="6" max="6" width="22.08203125" customWidth="1"/>
    <col min="7" max="7" width="13.75" customWidth="1"/>
    <col min="8" max="8" width="23.6640625" customWidth="1"/>
    <col min="9" max="9" width="14.25" customWidth="1"/>
    <col min="10" max="10" width="14.08203125" customWidth="1"/>
    <col min="11" max="11" width="18" customWidth="1"/>
  </cols>
  <sheetData>
    <row r="1" spans="1:11">
      <c r="A1" t="s">
        <v>0</v>
      </c>
      <c r="B1" t="s">
        <v>1</v>
      </c>
      <c r="C1" t="s">
        <v>2</v>
      </c>
      <c r="D1" t="s">
        <v>3</v>
      </c>
      <c r="E1" t="s">
        <v>4</v>
      </c>
      <c r="F1" t="s">
        <v>5</v>
      </c>
      <c r="G1" t="s">
        <v>6</v>
      </c>
      <c r="H1" t="s">
        <v>7</v>
      </c>
      <c r="I1" t="s">
        <v>8</v>
      </c>
      <c r="J1" t="s">
        <v>9</v>
      </c>
      <c r="K1" t="s">
        <v>10</v>
      </c>
    </row>
    <row r="2" spans="1:11">
      <c r="A2" t="s">
        <v>38</v>
      </c>
      <c r="B2" t="s">
        <v>41</v>
      </c>
      <c r="C2" s="1">
        <v>45627</v>
      </c>
      <c r="D2">
        <v>39</v>
      </c>
      <c r="E2">
        <v>15</v>
      </c>
      <c r="F2">
        <v>319.08999999999997</v>
      </c>
      <c r="G2">
        <v>7</v>
      </c>
      <c r="H2">
        <v>0.46666666666666667</v>
      </c>
      <c r="I2">
        <v>4573.5</v>
      </c>
      <c r="J2">
        <v>2</v>
      </c>
      <c r="K2">
        <v>8.0399999999999985E-2</v>
      </c>
    </row>
    <row r="3" spans="1:11">
      <c r="A3" t="s">
        <v>37</v>
      </c>
      <c r="B3" t="s">
        <v>41</v>
      </c>
      <c r="C3" s="1">
        <v>45627</v>
      </c>
      <c r="D3">
        <v>32</v>
      </c>
      <c r="E3">
        <v>10</v>
      </c>
      <c r="F3">
        <v>500.83</v>
      </c>
      <c r="G3">
        <v>4</v>
      </c>
      <c r="H3">
        <v>0.4</v>
      </c>
      <c r="I3">
        <v>239.13</v>
      </c>
      <c r="J3">
        <v>3</v>
      </c>
      <c r="K3">
        <v>6.1900000000000004E-2</v>
      </c>
    </row>
    <row r="4" spans="1:11">
      <c r="A4" t="s">
        <v>35</v>
      </c>
      <c r="B4" t="s">
        <v>41</v>
      </c>
      <c r="C4" s="1">
        <v>45627</v>
      </c>
      <c r="D4">
        <v>84</v>
      </c>
      <c r="E4">
        <v>14</v>
      </c>
      <c r="F4">
        <v>370.36</v>
      </c>
      <c r="G4">
        <v>0</v>
      </c>
      <c r="H4">
        <v>0</v>
      </c>
      <c r="I4">
        <v>2605.02</v>
      </c>
      <c r="J4">
        <v>1</v>
      </c>
      <c r="K4">
        <v>2.5499999999999998E-2</v>
      </c>
    </row>
    <row r="5" spans="1:11">
      <c r="A5" t="s">
        <v>34</v>
      </c>
      <c r="B5" t="s">
        <v>41</v>
      </c>
      <c r="C5" s="1">
        <v>45627</v>
      </c>
      <c r="D5">
        <v>83</v>
      </c>
      <c r="E5">
        <v>9</v>
      </c>
      <c r="F5">
        <v>188.49</v>
      </c>
      <c r="G5">
        <v>7</v>
      </c>
      <c r="H5">
        <v>0.77777777777777779</v>
      </c>
      <c r="I5">
        <v>545.09</v>
      </c>
      <c r="J5">
        <v>2</v>
      </c>
      <c r="K5">
        <v>8.5600000000000009E-2</v>
      </c>
    </row>
    <row r="6" spans="1:11">
      <c r="A6" t="s">
        <v>33</v>
      </c>
      <c r="B6" t="s">
        <v>41</v>
      </c>
      <c r="C6" s="1">
        <v>45627</v>
      </c>
      <c r="D6">
        <v>94</v>
      </c>
      <c r="E6">
        <v>6</v>
      </c>
      <c r="F6">
        <v>537.26</v>
      </c>
      <c r="G6">
        <v>1</v>
      </c>
      <c r="H6">
        <v>0.16666666666666666</v>
      </c>
      <c r="I6">
        <v>3665.55</v>
      </c>
      <c r="J6">
        <v>3</v>
      </c>
      <c r="K6">
        <v>3.0800000000000001E-2</v>
      </c>
    </row>
    <row r="7" spans="1:11">
      <c r="A7" t="s">
        <v>32</v>
      </c>
      <c r="B7" t="s">
        <v>41</v>
      </c>
      <c r="C7" s="1">
        <v>45627</v>
      </c>
      <c r="D7">
        <v>21</v>
      </c>
      <c r="E7">
        <v>17</v>
      </c>
      <c r="F7">
        <v>297.83999999999997</v>
      </c>
      <c r="G7">
        <v>1</v>
      </c>
      <c r="H7">
        <v>5.8823529411764705E-2</v>
      </c>
      <c r="I7">
        <v>1553.7</v>
      </c>
      <c r="J7">
        <v>1</v>
      </c>
      <c r="K7">
        <v>5.0700000000000002E-2</v>
      </c>
    </row>
    <row r="8" spans="1:11">
      <c r="A8" t="s">
        <v>31</v>
      </c>
      <c r="B8" t="s">
        <v>41</v>
      </c>
      <c r="C8" s="1">
        <v>45627</v>
      </c>
      <c r="D8">
        <v>74</v>
      </c>
      <c r="E8">
        <v>14</v>
      </c>
      <c r="F8">
        <v>508.85</v>
      </c>
      <c r="G8">
        <v>1</v>
      </c>
      <c r="H8">
        <v>7.1428571428571425E-2</v>
      </c>
      <c r="I8">
        <v>1182.6300000000001</v>
      </c>
      <c r="J8">
        <v>1</v>
      </c>
      <c r="K8">
        <v>8.9999999999999998E-4</v>
      </c>
    </row>
    <row r="9" spans="1:11">
      <c r="A9" t="s">
        <v>30</v>
      </c>
      <c r="B9" t="s">
        <v>41</v>
      </c>
      <c r="C9" s="1">
        <v>45627</v>
      </c>
      <c r="D9">
        <v>99</v>
      </c>
      <c r="E9">
        <v>15</v>
      </c>
      <c r="F9">
        <v>181.12</v>
      </c>
      <c r="G9">
        <v>5</v>
      </c>
      <c r="H9">
        <v>0.33333333333333331</v>
      </c>
      <c r="I9">
        <v>454.09</v>
      </c>
      <c r="J9">
        <v>2</v>
      </c>
      <c r="K9">
        <v>9.3599999999999989E-2</v>
      </c>
    </row>
    <row r="10" spans="1:11">
      <c r="A10" t="s">
        <v>29</v>
      </c>
      <c r="B10" t="s">
        <v>41</v>
      </c>
      <c r="C10" s="1">
        <v>45627</v>
      </c>
      <c r="D10">
        <v>26</v>
      </c>
      <c r="E10">
        <v>13</v>
      </c>
      <c r="F10">
        <v>543.15</v>
      </c>
      <c r="G10">
        <v>6</v>
      </c>
      <c r="H10">
        <v>0.46153846153846156</v>
      </c>
      <c r="I10">
        <v>3793.56</v>
      </c>
      <c r="J10">
        <v>3</v>
      </c>
      <c r="K10">
        <v>3.56E-2</v>
      </c>
    </row>
    <row r="11" spans="1:11">
      <c r="A11" t="s">
        <v>28</v>
      </c>
      <c r="B11" t="s">
        <v>41</v>
      </c>
      <c r="C11" s="1">
        <v>45627</v>
      </c>
      <c r="D11">
        <v>74</v>
      </c>
      <c r="E11">
        <v>6</v>
      </c>
      <c r="F11">
        <v>87.83</v>
      </c>
      <c r="G11">
        <v>6</v>
      </c>
      <c r="H11">
        <v>1</v>
      </c>
      <c r="I11">
        <v>3741.27</v>
      </c>
      <c r="J11">
        <v>1</v>
      </c>
      <c r="K11">
        <v>9.9700000000000011E-2</v>
      </c>
    </row>
    <row r="12" spans="1:11">
      <c r="A12" t="s">
        <v>27</v>
      </c>
      <c r="B12" t="s">
        <v>41</v>
      </c>
      <c r="C12" s="1">
        <v>45627</v>
      </c>
      <c r="D12">
        <v>88</v>
      </c>
      <c r="E12">
        <v>5</v>
      </c>
      <c r="F12">
        <v>168.89</v>
      </c>
      <c r="G12">
        <v>3</v>
      </c>
      <c r="H12">
        <v>0.6</v>
      </c>
      <c r="I12">
        <v>1153.93</v>
      </c>
      <c r="J12">
        <v>2</v>
      </c>
      <c r="K12">
        <v>8.2500000000000004E-2</v>
      </c>
    </row>
    <row r="13" spans="1:11">
      <c r="A13" t="s">
        <v>26</v>
      </c>
      <c r="B13" t="s">
        <v>41</v>
      </c>
      <c r="C13" s="1">
        <v>45627</v>
      </c>
      <c r="D13">
        <v>57</v>
      </c>
      <c r="E13">
        <v>7</v>
      </c>
      <c r="F13">
        <v>190.08</v>
      </c>
      <c r="G13">
        <v>2</v>
      </c>
      <c r="H13">
        <v>0.2857142857142857</v>
      </c>
      <c r="I13">
        <v>649.97</v>
      </c>
      <c r="J13">
        <v>3</v>
      </c>
      <c r="K13">
        <v>2.8799999999999999E-2</v>
      </c>
    </row>
    <row r="14" spans="1:11">
      <c r="A14" t="s">
        <v>25</v>
      </c>
      <c r="B14" t="s">
        <v>41</v>
      </c>
      <c r="C14" s="1">
        <v>45627</v>
      </c>
      <c r="D14">
        <v>31</v>
      </c>
      <c r="E14">
        <v>6</v>
      </c>
      <c r="F14">
        <v>191.66</v>
      </c>
      <c r="G14">
        <v>2</v>
      </c>
      <c r="H14">
        <v>0.33333333333333331</v>
      </c>
      <c r="I14">
        <v>3753.06</v>
      </c>
      <c r="J14">
        <v>1</v>
      </c>
      <c r="K14">
        <v>3.8300000000000001E-2</v>
      </c>
    </row>
    <row r="15" spans="1:11">
      <c r="A15" t="s">
        <v>24</v>
      </c>
      <c r="B15" t="s">
        <v>41</v>
      </c>
      <c r="C15" s="1">
        <v>45627</v>
      </c>
      <c r="D15">
        <v>77</v>
      </c>
      <c r="E15">
        <v>16</v>
      </c>
      <c r="F15">
        <v>539.26</v>
      </c>
      <c r="G15">
        <v>3</v>
      </c>
      <c r="H15">
        <v>0.1875</v>
      </c>
      <c r="I15">
        <v>379.83</v>
      </c>
      <c r="J15">
        <v>2</v>
      </c>
      <c r="K15">
        <v>3.7999999999999999E-2</v>
      </c>
    </row>
    <row r="16" spans="1:11">
      <c r="A16" t="s">
        <v>23</v>
      </c>
      <c r="B16" t="s">
        <v>41</v>
      </c>
      <c r="C16" s="1">
        <v>45627</v>
      </c>
      <c r="D16">
        <v>40</v>
      </c>
      <c r="E16">
        <v>7</v>
      </c>
      <c r="F16">
        <v>486.93</v>
      </c>
      <c r="G16">
        <v>7</v>
      </c>
      <c r="H16">
        <v>1</v>
      </c>
      <c r="I16">
        <v>3643.63</v>
      </c>
      <c r="J16">
        <v>3</v>
      </c>
      <c r="K16">
        <v>4.0199999999999993E-2</v>
      </c>
    </row>
    <row r="17" spans="1:11">
      <c r="A17" t="s">
        <v>22</v>
      </c>
      <c r="B17" t="s">
        <v>41</v>
      </c>
      <c r="C17" s="1">
        <v>45627</v>
      </c>
      <c r="D17">
        <v>18</v>
      </c>
      <c r="E17">
        <v>6</v>
      </c>
      <c r="F17">
        <v>212.39</v>
      </c>
      <c r="G17">
        <v>3</v>
      </c>
      <c r="H17">
        <v>0.5</v>
      </c>
      <c r="I17">
        <v>730.81</v>
      </c>
      <c r="J17">
        <v>1</v>
      </c>
      <c r="K17">
        <v>8.6699999999999999E-2</v>
      </c>
    </row>
    <row r="18" spans="1:11">
      <c r="A18" t="s">
        <v>21</v>
      </c>
      <c r="B18" t="s">
        <v>41</v>
      </c>
      <c r="C18" s="1">
        <v>45627</v>
      </c>
      <c r="D18">
        <v>69</v>
      </c>
      <c r="E18">
        <v>16</v>
      </c>
      <c r="F18">
        <v>337.7</v>
      </c>
      <c r="G18">
        <v>9</v>
      </c>
      <c r="H18">
        <v>0.5625</v>
      </c>
      <c r="I18">
        <v>947.47</v>
      </c>
      <c r="J18">
        <v>2</v>
      </c>
      <c r="K18">
        <v>3.56E-2</v>
      </c>
    </row>
    <row r="19" spans="1:11">
      <c r="A19" t="s">
        <v>20</v>
      </c>
      <c r="B19" t="s">
        <v>41</v>
      </c>
      <c r="C19" s="1">
        <v>45627</v>
      </c>
      <c r="D19">
        <v>28</v>
      </c>
      <c r="E19">
        <v>19</v>
      </c>
      <c r="F19">
        <v>352.06</v>
      </c>
      <c r="G19">
        <v>9</v>
      </c>
      <c r="H19">
        <v>0.47368421052631576</v>
      </c>
      <c r="I19">
        <v>1107.51</v>
      </c>
      <c r="J19">
        <v>3</v>
      </c>
      <c r="K19">
        <v>5.5E-2</v>
      </c>
    </row>
    <row r="20" spans="1:11">
      <c r="A20" t="s">
        <v>19</v>
      </c>
      <c r="B20" t="s">
        <v>41</v>
      </c>
      <c r="C20" s="1">
        <v>45627</v>
      </c>
      <c r="D20">
        <v>50</v>
      </c>
      <c r="E20">
        <v>6</v>
      </c>
      <c r="F20">
        <v>219.19</v>
      </c>
      <c r="G20">
        <v>4</v>
      </c>
      <c r="H20">
        <v>0.66666666666666663</v>
      </c>
      <c r="I20">
        <v>3836.95</v>
      </c>
      <c r="J20">
        <v>2</v>
      </c>
      <c r="K20">
        <v>3.8699999999999998E-2</v>
      </c>
    </row>
    <row r="21" spans="1:11">
      <c r="A21" t="s">
        <v>18</v>
      </c>
      <c r="B21" t="s">
        <v>41</v>
      </c>
      <c r="C21" s="1">
        <v>45627</v>
      </c>
      <c r="D21">
        <v>84</v>
      </c>
      <c r="E21">
        <v>19</v>
      </c>
      <c r="F21">
        <v>301.2</v>
      </c>
      <c r="G21">
        <v>2</v>
      </c>
      <c r="H21">
        <v>0.10526315789473684</v>
      </c>
      <c r="I21">
        <v>2608.4699999999998</v>
      </c>
      <c r="J21">
        <v>3</v>
      </c>
      <c r="K21">
        <v>0.1032</v>
      </c>
    </row>
    <row r="22" spans="1:11">
      <c r="A22" t="s">
        <v>17</v>
      </c>
      <c r="B22" t="s">
        <v>41</v>
      </c>
      <c r="C22" s="1">
        <v>45627</v>
      </c>
      <c r="D22">
        <v>70</v>
      </c>
      <c r="E22">
        <v>6</v>
      </c>
      <c r="F22">
        <v>488.97</v>
      </c>
      <c r="G22">
        <v>3</v>
      </c>
      <c r="H22">
        <v>0.5</v>
      </c>
      <c r="I22">
        <v>3767.09</v>
      </c>
      <c r="J22">
        <v>1</v>
      </c>
      <c r="K22">
        <v>1.0800000000000001E-2</v>
      </c>
    </row>
    <row r="23" spans="1:11">
      <c r="A23" t="s">
        <v>16</v>
      </c>
      <c r="B23" t="s">
        <v>41</v>
      </c>
      <c r="C23" s="1">
        <v>45627</v>
      </c>
      <c r="D23">
        <v>101</v>
      </c>
      <c r="E23">
        <v>14</v>
      </c>
      <c r="F23">
        <v>503.93</v>
      </c>
      <c r="G23">
        <v>5</v>
      </c>
      <c r="H23">
        <v>0.35714285714285715</v>
      </c>
      <c r="I23">
        <v>1116.6099999999999</v>
      </c>
      <c r="J23">
        <v>2</v>
      </c>
      <c r="K23">
        <v>3.7000000000000005E-2</v>
      </c>
    </row>
    <row r="24" spans="1:11">
      <c r="A24" t="s">
        <v>15</v>
      </c>
      <c r="B24" t="s">
        <v>41</v>
      </c>
      <c r="C24" s="1">
        <v>45627</v>
      </c>
      <c r="D24">
        <v>20</v>
      </c>
      <c r="E24">
        <v>5</v>
      </c>
      <c r="F24">
        <v>71.41</v>
      </c>
      <c r="G24">
        <v>3</v>
      </c>
      <c r="H24">
        <v>0.6</v>
      </c>
      <c r="I24">
        <v>1527.27</v>
      </c>
      <c r="J24">
        <v>3</v>
      </c>
      <c r="K24">
        <v>2.7000000000000003E-2</v>
      </c>
    </row>
    <row r="25" spans="1:11">
      <c r="A25" t="s">
        <v>14</v>
      </c>
      <c r="B25" t="s">
        <v>41</v>
      </c>
      <c r="C25" s="1">
        <v>45627</v>
      </c>
      <c r="D25">
        <v>51</v>
      </c>
      <c r="E25">
        <v>14</v>
      </c>
      <c r="F25">
        <v>419.93</v>
      </c>
      <c r="G25">
        <v>2</v>
      </c>
      <c r="H25">
        <v>0.14285714285714285</v>
      </c>
      <c r="I25">
        <v>3543.6</v>
      </c>
      <c r="J25">
        <v>1</v>
      </c>
      <c r="K25">
        <v>4.6300000000000001E-2</v>
      </c>
    </row>
    <row r="26" spans="1:11">
      <c r="A26" t="s">
        <v>13</v>
      </c>
      <c r="B26" t="s">
        <v>41</v>
      </c>
      <c r="C26" s="1">
        <v>45627</v>
      </c>
      <c r="D26">
        <v>80</v>
      </c>
      <c r="E26">
        <v>13</v>
      </c>
      <c r="F26">
        <v>369.46</v>
      </c>
      <c r="G26">
        <v>4</v>
      </c>
      <c r="H26">
        <v>0.30769230769230771</v>
      </c>
      <c r="I26">
        <v>3996.04</v>
      </c>
      <c r="J26">
        <v>2</v>
      </c>
      <c r="K26">
        <v>3.7499999999999999E-2</v>
      </c>
    </row>
    <row r="27" spans="1:11">
      <c r="A27" t="s">
        <v>11</v>
      </c>
      <c r="B27" t="s">
        <v>41</v>
      </c>
      <c r="C27" s="1">
        <v>45627</v>
      </c>
      <c r="D27">
        <v>61</v>
      </c>
      <c r="E27">
        <v>13</v>
      </c>
      <c r="F27">
        <v>356.61</v>
      </c>
      <c r="G27">
        <v>7</v>
      </c>
      <c r="H27">
        <v>0.53846153846153844</v>
      </c>
      <c r="I27">
        <v>4099.6400000000003</v>
      </c>
      <c r="J27">
        <v>3</v>
      </c>
      <c r="K27">
        <v>2.9600000000000001E-2</v>
      </c>
    </row>
    <row r="28" spans="1:11">
      <c r="A28" t="s">
        <v>38</v>
      </c>
      <c r="B28" t="s">
        <v>41</v>
      </c>
      <c r="C28" s="1">
        <v>45597</v>
      </c>
      <c r="D28">
        <v>41</v>
      </c>
      <c r="E28">
        <v>13</v>
      </c>
      <c r="F28">
        <v>370.44</v>
      </c>
      <c r="G28">
        <v>9</v>
      </c>
      <c r="H28">
        <v>0.69230769230769229</v>
      </c>
      <c r="I28">
        <v>4484.96</v>
      </c>
      <c r="J28">
        <v>1</v>
      </c>
      <c r="K28">
        <v>8.5199999999999998E-2</v>
      </c>
    </row>
    <row r="29" spans="1:11">
      <c r="A29" t="s">
        <v>37</v>
      </c>
      <c r="B29" t="s">
        <v>41</v>
      </c>
      <c r="C29" s="1">
        <v>45597</v>
      </c>
      <c r="D29">
        <v>28</v>
      </c>
      <c r="E29">
        <v>12</v>
      </c>
      <c r="F29">
        <v>565.51</v>
      </c>
      <c r="G29">
        <v>4</v>
      </c>
      <c r="H29">
        <v>0.33333333333333331</v>
      </c>
      <c r="I29">
        <v>231.16</v>
      </c>
      <c r="J29">
        <v>2</v>
      </c>
      <c r="K29">
        <v>6.2699999999999992E-2</v>
      </c>
    </row>
    <row r="30" spans="1:11">
      <c r="A30" t="s">
        <v>35</v>
      </c>
      <c r="B30" t="s">
        <v>41</v>
      </c>
      <c r="C30" s="1">
        <v>45597</v>
      </c>
      <c r="D30">
        <v>97</v>
      </c>
      <c r="E30">
        <v>14</v>
      </c>
      <c r="F30">
        <v>368.16</v>
      </c>
      <c r="G30">
        <v>0</v>
      </c>
      <c r="H30">
        <v>0</v>
      </c>
      <c r="I30">
        <v>3020.19</v>
      </c>
      <c r="J30">
        <v>3</v>
      </c>
      <c r="K30">
        <v>2.5099999999999997E-2</v>
      </c>
    </row>
    <row r="31" spans="1:11">
      <c r="A31" t="s">
        <v>34</v>
      </c>
      <c r="B31" t="s">
        <v>41</v>
      </c>
      <c r="C31" s="1">
        <v>45597</v>
      </c>
      <c r="D31">
        <v>73</v>
      </c>
      <c r="E31">
        <v>8</v>
      </c>
      <c r="F31">
        <v>182.48</v>
      </c>
      <c r="G31">
        <v>8</v>
      </c>
      <c r="H31">
        <v>1</v>
      </c>
      <c r="I31">
        <v>548.46</v>
      </c>
      <c r="J31">
        <v>1</v>
      </c>
      <c r="K31">
        <v>8.8200000000000001E-2</v>
      </c>
    </row>
    <row r="32" spans="1:11">
      <c r="A32" t="s">
        <v>33</v>
      </c>
      <c r="B32" t="s">
        <v>41</v>
      </c>
      <c r="C32" s="1">
        <v>45597</v>
      </c>
      <c r="D32">
        <v>87</v>
      </c>
      <c r="E32">
        <v>5</v>
      </c>
      <c r="F32">
        <v>601.28</v>
      </c>
      <c r="G32">
        <v>2</v>
      </c>
      <c r="H32">
        <v>0.4</v>
      </c>
      <c r="I32">
        <v>3491.19</v>
      </c>
      <c r="J32">
        <v>1</v>
      </c>
      <c r="K32">
        <v>2.9700000000000001E-2</v>
      </c>
    </row>
    <row r="33" spans="1:11">
      <c r="A33" t="s">
        <v>32</v>
      </c>
      <c r="B33" t="s">
        <v>41</v>
      </c>
      <c r="C33" s="1">
        <v>45597</v>
      </c>
      <c r="D33">
        <v>18</v>
      </c>
      <c r="E33">
        <v>15</v>
      </c>
      <c r="F33">
        <v>268.94</v>
      </c>
      <c r="G33">
        <v>1</v>
      </c>
      <c r="H33">
        <v>6.6666666666666666E-2</v>
      </c>
      <c r="I33">
        <v>1469.71</v>
      </c>
      <c r="J33">
        <v>2</v>
      </c>
      <c r="K33">
        <v>5.0900000000000001E-2</v>
      </c>
    </row>
    <row r="34" spans="1:11">
      <c r="A34" t="s">
        <v>31</v>
      </c>
      <c r="B34" t="s">
        <v>41</v>
      </c>
      <c r="C34" s="1">
        <v>45597</v>
      </c>
      <c r="D34">
        <v>72</v>
      </c>
      <c r="E34">
        <v>12</v>
      </c>
      <c r="F34">
        <v>474.28</v>
      </c>
      <c r="G34">
        <v>1</v>
      </c>
      <c r="H34">
        <v>8.3333333333333329E-2</v>
      </c>
      <c r="I34">
        <v>1097.5999999999999</v>
      </c>
      <c r="J34">
        <v>3</v>
      </c>
      <c r="K34">
        <v>1E-3</v>
      </c>
    </row>
    <row r="35" spans="1:11">
      <c r="A35" t="s">
        <v>30</v>
      </c>
      <c r="B35" t="s">
        <v>41</v>
      </c>
      <c r="C35" s="1">
        <v>45597</v>
      </c>
      <c r="D35">
        <v>96</v>
      </c>
      <c r="E35">
        <v>16</v>
      </c>
      <c r="F35">
        <v>161.69</v>
      </c>
      <c r="G35">
        <v>5</v>
      </c>
      <c r="H35">
        <v>0.3125</v>
      </c>
      <c r="I35">
        <v>392.05</v>
      </c>
      <c r="J35">
        <v>1</v>
      </c>
      <c r="K35">
        <v>9.5700000000000007E-2</v>
      </c>
    </row>
    <row r="36" spans="1:11">
      <c r="A36" t="s">
        <v>29</v>
      </c>
      <c r="B36" t="s">
        <v>41</v>
      </c>
      <c r="C36" s="1">
        <v>45597</v>
      </c>
      <c r="D36">
        <v>26</v>
      </c>
      <c r="E36">
        <v>17</v>
      </c>
      <c r="F36">
        <v>504.54</v>
      </c>
      <c r="G36">
        <v>8</v>
      </c>
      <c r="H36">
        <v>0.47058823529411764</v>
      </c>
      <c r="I36">
        <v>3359.77</v>
      </c>
      <c r="J36">
        <v>2</v>
      </c>
      <c r="K36">
        <v>3.2000000000000001E-2</v>
      </c>
    </row>
    <row r="37" spans="1:11">
      <c r="A37" t="s">
        <v>28</v>
      </c>
      <c r="B37" t="s">
        <v>41</v>
      </c>
      <c r="C37" s="1">
        <v>45597</v>
      </c>
      <c r="D37">
        <v>81</v>
      </c>
      <c r="E37">
        <v>7</v>
      </c>
      <c r="F37">
        <v>79.62</v>
      </c>
      <c r="G37">
        <v>7</v>
      </c>
      <c r="H37">
        <v>1</v>
      </c>
      <c r="I37">
        <v>3892.76</v>
      </c>
      <c r="J37">
        <v>3</v>
      </c>
      <c r="K37">
        <v>9.74E-2</v>
      </c>
    </row>
    <row r="38" spans="1:11">
      <c r="A38" t="s">
        <v>27</v>
      </c>
      <c r="B38" t="s">
        <v>41</v>
      </c>
      <c r="C38" s="1">
        <v>45597</v>
      </c>
      <c r="D38">
        <v>100</v>
      </c>
      <c r="E38">
        <v>6</v>
      </c>
      <c r="F38">
        <v>153.34</v>
      </c>
      <c r="G38">
        <v>3</v>
      </c>
      <c r="H38">
        <v>0.5</v>
      </c>
      <c r="I38">
        <v>1248.54</v>
      </c>
      <c r="J38">
        <v>1</v>
      </c>
      <c r="K38">
        <v>7.9000000000000001E-2</v>
      </c>
    </row>
    <row r="39" spans="1:11">
      <c r="A39" t="s">
        <v>26</v>
      </c>
      <c r="B39" t="s">
        <v>41</v>
      </c>
      <c r="C39" s="1">
        <v>45597</v>
      </c>
      <c r="D39">
        <v>65</v>
      </c>
      <c r="E39">
        <v>9</v>
      </c>
      <c r="F39">
        <v>220.46</v>
      </c>
      <c r="G39">
        <v>3</v>
      </c>
      <c r="H39">
        <v>0.33333333333333331</v>
      </c>
      <c r="I39">
        <v>707.75</v>
      </c>
      <c r="J39">
        <v>2</v>
      </c>
      <c r="K39">
        <v>2.76E-2</v>
      </c>
    </row>
    <row r="40" spans="1:11">
      <c r="A40" t="s">
        <v>25</v>
      </c>
      <c r="B40" t="s">
        <v>41</v>
      </c>
      <c r="C40" s="1">
        <v>45597</v>
      </c>
      <c r="D40">
        <v>30</v>
      </c>
      <c r="E40">
        <v>6</v>
      </c>
      <c r="F40">
        <v>209.84</v>
      </c>
      <c r="G40">
        <v>1</v>
      </c>
      <c r="H40">
        <v>0.16666666666666666</v>
      </c>
      <c r="I40">
        <v>3534.1</v>
      </c>
      <c r="J40">
        <v>3</v>
      </c>
      <c r="K40">
        <v>4.2000000000000003E-2</v>
      </c>
    </row>
    <row r="41" spans="1:11">
      <c r="A41" t="s">
        <v>24</v>
      </c>
      <c r="B41" t="s">
        <v>41</v>
      </c>
      <c r="C41" s="1">
        <v>45597</v>
      </c>
      <c r="D41">
        <v>59</v>
      </c>
      <c r="E41">
        <v>21</v>
      </c>
      <c r="F41">
        <v>633.37</v>
      </c>
      <c r="G41">
        <v>2</v>
      </c>
      <c r="H41">
        <v>9.5238095238095233E-2</v>
      </c>
      <c r="I41">
        <v>358.29</v>
      </c>
      <c r="J41">
        <v>1</v>
      </c>
      <c r="K41">
        <v>3.27E-2</v>
      </c>
    </row>
    <row r="42" spans="1:11">
      <c r="A42" t="s">
        <v>23</v>
      </c>
      <c r="B42" t="s">
        <v>41</v>
      </c>
      <c r="C42" s="1">
        <v>45597</v>
      </c>
      <c r="D42">
        <v>32</v>
      </c>
      <c r="E42">
        <v>7</v>
      </c>
      <c r="F42">
        <v>563.41999999999996</v>
      </c>
      <c r="G42">
        <v>6</v>
      </c>
      <c r="H42">
        <v>0.8571428571428571</v>
      </c>
      <c r="I42">
        <v>3543.71</v>
      </c>
      <c r="J42">
        <v>2</v>
      </c>
      <c r="K42">
        <v>4.3799999999999999E-2</v>
      </c>
    </row>
    <row r="43" spans="1:11">
      <c r="A43" t="s">
        <v>22</v>
      </c>
      <c r="B43" t="s">
        <v>41</v>
      </c>
      <c r="C43" s="1">
        <v>45597</v>
      </c>
      <c r="D43">
        <v>23</v>
      </c>
      <c r="E43">
        <v>7</v>
      </c>
      <c r="F43">
        <v>190.12</v>
      </c>
      <c r="G43">
        <v>4</v>
      </c>
      <c r="H43">
        <v>0.5714285714285714</v>
      </c>
      <c r="I43">
        <v>788.65</v>
      </c>
      <c r="J43">
        <v>3</v>
      </c>
      <c r="K43">
        <v>7.2000000000000008E-2</v>
      </c>
    </row>
    <row r="44" spans="1:11">
      <c r="A44" t="s">
        <v>21</v>
      </c>
      <c r="B44" t="s">
        <v>41</v>
      </c>
      <c r="C44" s="1">
        <v>45597</v>
      </c>
      <c r="D44">
        <v>74</v>
      </c>
      <c r="E44">
        <v>13</v>
      </c>
      <c r="F44">
        <v>324.77999999999997</v>
      </c>
      <c r="G44">
        <v>7</v>
      </c>
      <c r="H44">
        <v>0.53846153846153844</v>
      </c>
      <c r="I44">
        <v>995.6</v>
      </c>
      <c r="J44">
        <v>1</v>
      </c>
      <c r="K44">
        <v>3.0699999999999998E-2</v>
      </c>
    </row>
    <row r="45" spans="1:11">
      <c r="A45" t="s">
        <v>20</v>
      </c>
      <c r="B45" t="s">
        <v>41</v>
      </c>
      <c r="C45" s="1">
        <v>45597</v>
      </c>
      <c r="D45">
        <v>30</v>
      </c>
      <c r="E45">
        <v>21</v>
      </c>
      <c r="F45">
        <v>372.34</v>
      </c>
      <c r="G45">
        <v>7</v>
      </c>
      <c r="H45">
        <v>0.33333333333333331</v>
      </c>
      <c r="I45">
        <v>1172.04</v>
      </c>
      <c r="J45">
        <v>2</v>
      </c>
      <c r="K45">
        <v>5.4800000000000001E-2</v>
      </c>
    </row>
    <row r="46" spans="1:11">
      <c r="A46" t="s">
        <v>19</v>
      </c>
      <c r="B46" t="s">
        <v>41</v>
      </c>
      <c r="C46" s="1">
        <v>45597</v>
      </c>
      <c r="D46">
        <v>50</v>
      </c>
      <c r="E46">
        <v>9</v>
      </c>
      <c r="F46">
        <v>237.95</v>
      </c>
      <c r="G46">
        <v>5</v>
      </c>
      <c r="H46">
        <v>0.55555555555555558</v>
      </c>
      <c r="I46">
        <v>3982.36</v>
      </c>
      <c r="J46">
        <v>3</v>
      </c>
      <c r="K46">
        <v>4.4299999999999999E-2</v>
      </c>
    </row>
    <row r="47" spans="1:11">
      <c r="A47" t="s">
        <v>18</v>
      </c>
      <c r="B47" t="s">
        <v>41</v>
      </c>
      <c r="C47" s="1">
        <v>45597</v>
      </c>
      <c r="D47">
        <v>74</v>
      </c>
      <c r="E47">
        <v>17</v>
      </c>
      <c r="F47">
        <v>284.91000000000003</v>
      </c>
      <c r="G47">
        <v>3</v>
      </c>
      <c r="H47">
        <v>0.17647058823529413</v>
      </c>
      <c r="I47">
        <v>2481.64</v>
      </c>
      <c r="J47">
        <v>1</v>
      </c>
      <c r="K47">
        <v>9.0500000000000011E-2</v>
      </c>
    </row>
    <row r="48" spans="1:11">
      <c r="A48" t="s">
        <v>17</v>
      </c>
      <c r="B48" t="s">
        <v>41</v>
      </c>
      <c r="C48" s="1">
        <v>45597</v>
      </c>
      <c r="D48">
        <v>52</v>
      </c>
      <c r="E48">
        <v>6</v>
      </c>
      <c r="F48">
        <v>492.23</v>
      </c>
      <c r="G48">
        <v>2</v>
      </c>
      <c r="H48">
        <v>0.33333333333333331</v>
      </c>
      <c r="I48">
        <v>3775.84</v>
      </c>
      <c r="J48">
        <v>2</v>
      </c>
      <c r="K48">
        <v>1.1000000000000001E-2</v>
      </c>
    </row>
    <row r="49" spans="1:11">
      <c r="A49" t="s">
        <v>16</v>
      </c>
      <c r="B49" t="s">
        <v>41</v>
      </c>
      <c r="C49" s="1">
        <v>45597</v>
      </c>
      <c r="D49">
        <v>77</v>
      </c>
      <c r="E49">
        <v>16</v>
      </c>
      <c r="F49">
        <v>502.41</v>
      </c>
      <c r="G49">
        <v>5</v>
      </c>
      <c r="H49">
        <v>0.3125</v>
      </c>
      <c r="I49">
        <v>1093.75</v>
      </c>
      <c r="J49">
        <v>3</v>
      </c>
      <c r="K49">
        <v>3.8399999999999997E-2</v>
      </c>
    </row>
    <row r="50" spans="1:11">
      <c r="A50" t="s">
        <v>15</v>
      </c>
      <c r="B50" t="s">
        <v>41</v>
      </c>
      <c r="C50" s="1">
        <v>45597</v>
      </c>
      <c r="D50">
        <v>22</v>
      </c>
      <c r="E50">
        <v>6</v>
      </c>
      <c r="F50">
        <v>80.02</v>
      </c>
      <c r="G50">
        <v>3</v>
      </c>
      <c r="H50">
        <v>0.5</v>
      </c>
      <c r="I50">
        <v>1476.69</v>
      </c>
      <c r="J50">
        <v>1</v>
      </c>
      <c r="K50">
        <v>2.9300000000000003E-2</v>
      </c>
    </row>
    <row r="51" spans="1:11">
      <c r="A51" t="s">
        <v>14</v>
      </c>
      <c r="B51" t="s">
        <v>41</v>
      </c>
      <c r="C51" s="1">
        <v>45597</v>
      </c>
      <c r="D51">
        <v>53</v>
      </c>
      <c r="E51">
        <v>17</v>
      </c>
      <c r="F51">
        <v>404.22</v>
      </c>
      <c r="G51">
        <v>2</v>
      </c>
      <c r="H51">
        <v>0.11764705882352941</v>
      </c>
      <c r="I51">
        <v>3669.4</v>
      </c>
      <c r="J51">
        <v>2</v>
      </c>
      <c r="K51">
        <v>4.4500000000000005E-2</v>
      </c>
    </row>
    <row r="52" spans="1:11">
      <c r="A52" t="s">
        <v>13</v>
      </c>
      <c r="B52" t="s">
        <v>41</v>
      </c>
      <c r="C52" s="1">
        <v>45597</v>
      </c>
      <c r="D52">
        <v>76</v>
      </c>
      <c r="E52">
        <v>14</v>
      </c>
      <c r="F52">
        <v>351.42</v>
      </c>
      <c r="G52">
        <v>4</v>
      </c>
      <c r="H52">
        <v>0.2857142857142857</v>
      </c>
      <c r="I52">
        <v>3917.99</v>
      </c>
      <c r="J52">
        <v>3</v>
      </c>
      <c r="K52">
        <v>4.2999999999999997E-2</v>
      </c>
    </row>
    <row r="53" spans="1:11">
      <c r="A53" t="s">
        <v>11</v>
      </c>
      <c r="B53" t="s">
        <v>41</v>
      </c>
      <c r="C53" s="1">
        <v>45597</v>
      </c>
      <c r="D53">
        <v>67</v>
      </c>
      <c r="E53">
        <v>12</v>
      </c>
      <c r="F53">
        <v>352.6</v>
      </c>
      <c r="G53">
        <v>6</v>
      </c>
      <c r="H53">
        <v>0.5</v>
      </c>
      <c r="I53">
        <v>4402.41</v>
      </c>
      <c r="J53">
        <v>1</v>
      </c>
      <c r="K53">
        <v>2.8999999999999998E-2</v>
      </c>
    </row>
    <row r="54" spans="1:11">
      <c r="A54" t="s">
        <v>38</v>
      </c>
      <c r="B54" t="s">
        <v>41</v>
      </c>
      <c r="C54" s="1">
        <v>45566</v>
      </c>
      <c r="D54">
        <v>34</v>
      </c>
      <c r="E54">
        <v>12</v>
      </c>
      <c r="F54">
        <v>356.4</v>
      </c>
      <c r="G54">
        <v>8</v>
      </c>
      <c r="H54">
        <v>0.66666666666666663</v>
      </c>
      <c r="I54">
        <v>4111.76</v>
      </c>
      <c r="J54">
        <v>2</v>
      </c>
      <c r="K54">
        <v>8.4700000000000011E-2</v>
      </c>
    </row>
    <row r="55" spans="1:11">
      <c r="A55" t="s">
        <v>37</v>
      </c>
      <c r="B55" t="s">
        <v>41</v>
      </c>
      <c r="C55" s="1">
        <v>45566</v>
      </c>
      <c r="D55">
        <v>36</v>
      </c>
      <c r="E55">
        <v>10</v>
      </c>
      <c r="F55">
        <v>535.44000000000005</v>
      </c>
      <c r="G55">
        <v>4</v>
      </c>
      <c r="H55">
        <v>0.4</v>
      </c>
      <c r="I55">
        <v>241.26</v>
      </c>
      <c r="J55">
        <v>3</v>
      </c>
      <c r="K55">
        <v>6.3E-2</v>
      </c>
    </row>
    <row r="56" spans="1:11">
      <c r="A56" t="s">
        <v>35</v>
      </c>
      <c r="B56" t="s">
        <v>41</v>
      </c>
      <c r="C56" s="1">
        <v>45566</v>
      </c>
      <c r="D56">
        <v>85</v>
      </c>
      <c r="E56">
        <v>15</v>
      </c>
      <c r="F56">
        <v>400.65</v>
      </c>
      <c r="G56">
        <v>0</v>
      </c>
      <c r="H56">
        <v>0</v>
      </c>
      <c r="I56">
        <v>2890.62</v>
      </c>
      <c r="J56">
        <v>1</v>
      </c>
      <c r="K56">
        <v>2.4700000000000003E-2</v>
      </c>
    </row>
    <row r="57" spans="1:11">
      <c r="A57" t="s">
        <v>34</v>
      </c>
      <c r="B57" t="s">
        <v>41</v>
      </c>
      <c r="C57" s="1">
        <v>45566</v>
      </c>
      <c r="D57">
        <v>63</v>
      </c>
      <c r="E57">
        <v>10</v>
      </c>
      <c r="F57">
        <v>194.21</v>
      </c>
      <c r="G57">
        <v>7</v>
      </c>
      <c r="H57">
        <v>0.7</v>
      </c>
      <c r="I57">
        <v>508.84</v>
      </c>
      <c r="J57">
        <v>1</v>
      </c>
      <c r="K57">
        <v>9.3900000000000011E-2</v>
      </c>
    </row>
    <row r="58" spans="1:11">
      <c r="A58" t="s">
        <v>33</v>
      </c>
      <c r="B58" t="s">
        <v>41</v>
      </c>
      <c r="C58" s="1">
        <v>45566</v>
      </c>
      <c r="D58">
        <v>108</v>
      </c>
      <c r="E58">
        <v>6</v>
      </c>
      <c r="F58">
        <v>515.27</v>
      </c>
      <c r="G58">
        <v>2</v>
      </c>
      <c r="H58">
        <v>0.33333333333333331</v>
      </c>
      <c r="I58">
        <v>3183.87</v>
      </c>
      <c r="J58">
        <v>2</v>
      </c>
      <c r="K58">
        <v>3.04E-2</v>
      </c>
    </row>
    <row r="59" spans="1:11">
      <c r="A59" t="s">
        <v>32</v>
      </c>
      <c r="B59" t="s">
        <v>41</v>
      </c>
      <c r="C59" s="1">
        <v>45566</v>
      </c>
      <c r="D59">
        <v>21</v>
      </c>
      <c r="E59">
        <v>15</v>
      </c>
      <c r="F59">
        <v>309.75</v>
      </c>
      <c r="G59">
        <v>2</v>
      </c>
      <c r="H59">
        <v>0.13333333333333333</v>
      </c>
      <c r="I59">
        <v>1649.09</v>
      </c>
      <c r="J59">
        <v>3</v>
      </c>
      <c r="K59">
        <v>5.0999999999999997E-2</v>
      </c>
    </row>
    <row r="60" spans="1:11">
      <c r="A60" t="s">
        <v>31</v>
      </c>
      <c r="B60" t="s">
        <v>41</v>
      </c>
      <c r="C60" s="1">
        <v>45566</v>
      </c>
      <c r="D60">
        <v>64</v>
      </c>
      <c r="E60">
        <v>15</v>
      </c>
      <c r="F60">
        <v>514.38</v>
      </c>
      <c r="G60">
        <v>0</v>
      </c>
      <c r="H60">
        <v>0</v>
      </c>
      <c r="I60">
        <v>1220.5899999999999</v>
      </c>
      <c r="J60">
        <v>1</v>
      </c>
      <c r="K60">
        <v>1E-3</v>
      </c>
    </row>
    <row r="61" spans="1:11">
      <c r="A61" t="s">
        <v>30</v>
      </c>
      <c r="B61" t="s">
        <v>41</v>
      </c>
      <c r="C61" s="1">
        <v>45566</v>
      </c>
      <c r="D61">
        <v>104</v>
      </c>
      <c r="E61">
        <v>20</v>
      </c>
      <c r="F61">
        <v>181.9</v>
      </c>
      <c r="G61">
        <v>4</v>
      </c>
      <c r="H61">
        <v>0.2</v>
      </c>
      <c r="I61">
        <v>400.92</v>
      </c>
      <c r="J61">
        <v>2</v>
      </c>
      <c r="K61">
        <v>0.10009999999999999</v>
      </c>
    </row>
    <row r="62" spans="1:11">
      <c r="A62" t="s">
        <v>29</v>
      </c>
      <c r="B62" t="s">
        <v>41</v>
      </c>
      <c r="C62" s="1">
        <v>45566</v>
      </c>
      <c r="D62">
        <v>21</v>
      </c>
      <c r="E62">
        <v>14</v>
      </c>
      <c r="F62">
        <v>537.36</v>
      </c>
      <c r="G62">
        <v>7</v>
      </c>
      <c r="H62">
        <v>0.5</v>
      </c>
      <c r="I62">
        <v>3767.78</v>
      </c>
      <c r="J62">
        <v>3</v>
      </c>
      <c r="K62">
        <v>3.44E-2</v>
      </c>
    </row>
    <row r="63" spans="1:11">
      <c r="A63" t="s">
        <v>28</v>
      </c>
      <c r="B63" t="s">
        <v>41</v>
      </c>
      <c r="C63" s="1">
        <v>45566</v>
      </c>
      <c r="D63">
        <v>102</v>
      </c>
      <c r="E63">
        <v>5</v>
      </c>
      <c r="F63">
        <v>86.37</v>
      </c>
      <c r="G63">
        <v>5</v>
      </c>
      <c r="H63">
        <v>1</v>
      </c>
      <c r="I63">
        <v>3851.19</v>
      </c>
      <c r="J63">
        <v>1</v>
      </c>
      <c r="K63">
        <v>8.3800000000000013E-2</v>
      </c>
    </row>
    <row r="64" spans="1:11">
      <c r="A64" t="s">
        <v>27</v>
      </c>
      <c r="B64" t="s">
        <v>41</v>
      </c>
      <c r="C64" s="1">
        <v>45566</v>
      </c>
      <c r="D64">
        <v>106</v>
      </c>
      <c r="E64">
        <v>5</v>
      </c>
      <c r="F64">
        <v>163.38</v>
      </c>
      <c r="G64">
        <v>1</v>
      </c>
      <c r="H64">
        <v>0.2</v>
      </c>
      <c r="I64">
        <v>1148.1400000000001</v>
      </c>
      <c r="J64">
        <v>2</v>
      </c>
      <c r="K64">
        <v>7.8799999999999995E-2</v>
      </c>
    </row>
    <row r="65" spans="1:11">
      <c r="A65" t="s">
        <v>26</v>
      </c>
      <c r="B65" t="s">
        <v>41</v>
      </c>
      <c r="C65" s="1">
        <v>45566</v>
      </c>
      <c r="D65">
        <v>49</v>
      </c>
      <c r="E65">
        <v>7</v>
      </c>
      <c r="F65">
        <v>204.14</v>
      </c>
      <c r="G65">
        <v>3</v>
      </c>
      <c r="H65">
        <v>0.42857142857142855</v>
      </c>
      <c r="I65">
        <v>636.65</v>
      </c>
      <c r="J65">
        <v>3</v>
      </c>
      <c r="K65">
        <v>2.9500000000000002E-2</v>
      </c>
    </row>
    <row r="66" spans="1:11">
      <c r="A66" t="s">
        <v>25</v>
      </c>
      <c r="B66" t="s">
        <v>41</v>
      </c>
      <c r="C66" s="1">
        <v>45566</v>
      </c>
      <c r="D66">
        <v>27</v>
      </c>
      <c r="E66">
        <v>6</v>
      </c>
      <c r="F66">
        <v>202.37</v>
      </c>
      <c r="G66">
        <v>1</v>
      </c>
      <c r="H66">
        <v>0.16666666666666666</v>
      </c>
      <c r="I66">
        <v>3781.81</v>
      </c>
      <c r="J66">
        <v>1</v>
      </c>
      <c r="K66">
        <v>4.3099999999999999E-2</v>
      </c>
    </row>
    <row r="67" spans="1:11">
      <c r="A67" t="s">
        <v>24</v>
      </c>
      <c r="B67" t="s">
        <v>41</v>
      </c>
      <c r="C67" s="1">
        <v>45566</v>
      </c>
      <c r="D67">
        <v>73</v>
      </c>
      <c r="E67">
        <v>17</v>
      </c>
      <c r="F67">
        <v>557.29999999999995</v>
      </c>
      <c r="G67">
        <v>3</v>
      </c>
      <c r="H67">
        <v>0.17647058823529413</v>
      </c>
      <c r="I67">
        <v>376.66</v>
      </c>
      <c r="J67">
        <v>2</v>
      </c>
      <c r="K67">
        <v>3.4700000000000002E-2</v>
      </c>
    </row>
    <row r="68" spans="1:11">
      <c r="A68" t="s">
        <v>23</v>
      </c>
      <c r="B68" t="s">
        <v>41</v>
      </c>
      <c r="C68" s="1">
        <v>45566</v>
      </c>
      <c r="D68">
        <v>35</v>
      </c>
      <c r="E68">
        <v>6</v>
      </c>
      <c r="F68">
        <v>544.78</v>
      </c>
      <c r="G68">
        <v>5</v>
      </c>
      <c r="H68">
        <v>0.83333333333333337</v>
      </c>
      <c r="I68">
        <v>3420.99</v>
      </c>
      <c r="J68">
        <v>3</v>
      </c>
      <c r="K68">
        <v>4.0500000000000001E-2</v>
      </c>
    </row>
    <row r="69" spans="1:11">
      <c r="A69" t="s">
        <v>22</v>
      </c>
      <c r="B69" t="s">
        <v>41</v>
      </c>
      <c r="C69" s="1">
        <v>45566</v>
      </c>
      <c r="D69">
        <v>17</v>
      </c>
      <c r="E69">
        <v>7</v>
      </c>
      <c r="F69">
        <v>205.3</v>
      </c>
      <c r="G69">
        <v>4</v>
      </c>
      <c r="H69">
        <v>0.5714285714285714</v>
      </c>
      <c r="I69">
        <v>762.2</v>
      </c>
      <c r="J69">
        <v>2</v>
      </c>
      <c r="K69">
        <v>7.2300000000000003E-2</v>
      </c>
    </row>
    <row r="70" spans="1:11">
      <c r="A70" t="s">
        <v>21</v>
      </c>
      <c r="B70" t="s">
        <v>41</v>
      </c>
      <c r="C70" s="1">
        <v>45566</v>
      </c>
      <c r="D70">
        <v>71</v>
      </c>
      <c r="E70">
        <v>16</v>
      </c>
      <c r="F70">
        <v>323.56</v>
      </c>
      <c r="G70">
        <v>9</v>
      </c>
      <c r="H70">
        <v>0.5625</v>
      </c>
      <c r="I70">
        <v>957.05</v>
      </c>
      <c r="J70">
        <v>3</v>
      </c>
      <c r="K70">
        <v>3.1099999999999999E-2</v>
      </c>
    </row>
    <row r="71" spans="1:11">
      <c r="A71" t="s">
        <v>20</v>
      </c>
      <c r="B71" t="s">
        <v>41</v>
      </c>
      <c r="C71" s="1">
        <v>45566</v>
      </c>
      <c r="D71">
        <v>32</v>
      </c>
      <c r="E71">
        <v>16</v>
      </c>
      <c r="F71">
        <v>393.04</v>
      </c>
      <c r="G71">
        <v>7</v>
      </c>
      <c r="H71">
        <v>0.4375</v>
      </c>
      <c r="I71">
        <v>1286.18</v>
      </c>
      <c r="J71">
        <v>1</v>
      </c>
      <c r="K71">
        <v>5.6399999999999999E-2</v>
      </c>
    </row>
    <row r="72" spans="1:11">
      <c r="A72" t="s">
        <v>19</v>
      </c>
      <c r="B72" t="s">
        <v>41</v>
      </c>
      <c r="C72" s="1">
        <v>45566</v>
      </c>
      <c r="D72">
        <v>51</v>
      </c>
      <c r="E72">
        <v>7</v>
      </c>
      <c r="F72">
        <v>248.37</v>
      </c>
      <c r="G72">
        <v>7</v>
      </c>
      <c r="H72">
        <v>1</v>
      </c>
      <c r="I72">
        <v>3946.23</v>
      </c>
      <c r="J72">
        <v>2</v>
      </c>
      <c r="K72">
        <v>4.2699999999999995E-2</v>
      </c>
    </row>
    <row r="73" spans="1:11">
      <c r="A73" t="s">
        <v>18</v>
      </c>
      <c r="B73" t="s">
        <v>41</v>
      </c>
      <c r="C73" s="1">
        <v>45566</v>
      </c>
      <c r="D73">
        <v>70</v>
      </c>
      <c r="E73">
        <v>21</v>
      </c>
      <c r="F73">
        <v>319.62</v>
      </c>
      <c r="G73">
        <v>3</v>
      </c>
      <c r="H73">
        <v>0.14285714285714285</v>
      </c>
      <c r="I73">
        <v>2486.2199999999998</v>
      </c>
      <c r="J73">
        <v>3</v>
      </c>
      <c r="K73">
        <v>0.1036</v>
      </c>
    </row>
    <row r="74" spans="1:11">
      <c r="A74" t="s">
        <v>17</v>
      </c>
      <c r="B74" t="s">
        <v>41</v>
      </c>
      <c r="C74" s="1">
        <v>45566</v>
      </c>
      <c r="D74">
        <v>62</v>
      </c>
      <c r="E74">
        <v>8</v>
      </c>
      <c r="F74">
        <v>540.79999999999995</v>
      </c>
      <c r="G74">
        <v>3</v>
      </c>
      <c r="H74">
        <v>0.375</v>
      </c>
      <c r="I74">
        <v>3928.71</v>
      </c>
      <c r="J74">
        <v>1</v>
      </c>
      <c r="K74">
        <v>1.09E-2</v>
      </c>
    </row>
    <row r="75" spans="1:11">
      <c r="A75" t="s">
        <v>16</v>
      </c>
      <c r="B75" t="s">
        <v>41</v>
      </c>
      <c r="C75" s="1">
        <v>45566</v>
      </c>
      <c r="D75">
        <v>74</v>
      </c>
      <c r="E75">
        <v>15</v>
      </c>
      <c r="F75">
        <v>460.2</v>
      </c>
      <c r="G75">
        <v>4</v>
      </c>
      <c r="H75">
        <v>0.26666666666666666</v>
      </c>
      <c r="I75">
        <v>980.1</v>
      </c>
      <c r="J75">
        <v>2</v>
      </c>
      <c r="K75">
        <v>3.7900000000000003E-2</v>
      </c>
    </row>
    <row r="76" spans="1:11">
      <c r="A76" t="s">
        <v>15</v>
      </c>
      <c r="B76" t="s">
        <v>41</v>
      </c>
      <c r="C76" s="1">
        <v>45566</v>
      </c>
      <c r="D76">
        <v>22</v>
      </c>
      <c r="E76">
        <v>7</v>
      </c>
      <c r="F76">
        <v>74.680000000000007</v>
      </c>
      <c r="G76">
        <v>4</v>
      </c>
      <c r="H76">
        <v>0.5714285714285714</v>
      </c>
      <c r="I76">
        <v>1543.72</v>
      </c>
      <c r="J76">
        <v>3</v>
      </c>
      <c r="K76">
        <v>2.75E-2</v>
      </c>
    </row>
    <row r="77" spans="1:11">
      <c r="A77" t="s">
        <v>14</v>
      </c>
      <c r="B77" t="s">
        <v>41</v>
      </c>
      <c r="C77" s="1">
        <v>45566</v>
      </c>
      <c r="D77">
        <v>58</v>
      </c>
      <c r="E77">
        <v>13</v>
      </c>
      <c r="F77">
        <v>368.06</v>
      </c>
      <c r="G77">
        <v>2</v>
      </c>
      <c r="H77">
        <v>0.15384615384615385</v>
      </c>
      <c r="I77">
        <v>3626.22</v>
      </c>
      <c r="J77">
        <v>1</v>
      </c>
      <c r="K77">
        <v>4.1399999999999999E-2</v>
      </c>
    </row>
    <row r="78" spans="1:11">
      <c r="A78" t="s">
        <v>13</v>
      </c>
      <c r="B78" t="s">
        <v>41</v>
      </c>
      <c r="C78" s="1">
        <v>45566</v>
      </c>
      <c r="D78">
        <v>72</v>
      </c>
      <c r="E78">
        <v>10</v>
      </c>
      <c r="F78">
        <v>362.58</v>
      </c>
      <c r="G78">
        <v>5</v>
      </c>
      <c r="H78">
        <v>0.5</v>
      </c>
      <c r="I78">
        <v>3679.65</v>
      </c>
      <c r="J78">
        <v>2</v>
      </c>
      <c r="K78">
        <v>3.8599999999999995E-2</v>
      </c>
    </row>
    <row r="79" spans="1:11">
      <c r="A79" t="s">
        <v>11</v>
      </c>
      <c r="B79" t="s">
        <v>41</v>
      </c>
      <c r="C79" s="1">
        <v>45566</v>
      </c>
      <c r="D79">
        <v>74</v>
      </c>
      <c r="E79">
        <v>16</v>
      </c>
      <c r="F79">
        <v>308.51</v>
      </c>
      <c r="G79">
        <v>7</v>
      </c>
      <c r="H79">
        <v>0.4375</v>
      </c>
      <c r="I79">
        <v>4267.5</v>
      </c>
      <c r="J79">
        <v>3</v>
      </c>
      <c r="K79">
        <v>2.9399999999999999E-2</v>
      </c>
    </row>
    <row r="80" spans="1:11">
      <c r="A80" t="s">
        <v>38</v>
      </c>
      <c r="B80" t="s">
        <v>41</v>
      </c>
      <c r="C80" s="1">
        <v>45536</v>
      </c>
      <c r="D80">
        <v>35</v>
      </c>
      <c r="E80">
        <v>18</v>
      </c>
      <c r="F80">
        <v>348.92</v>
      </c>
      <c r="G80">
        <v>7</v>
      </c>
      <c r="H80">
        <v>0.3888888888888889</v>
      </c>
      <c r="I80">
        <v>4381.3900000000003</v>
      </c>
      <c r="J80">
        <v>1</v>
      </c>
      <c r="K80">
        <v>8.8599999999999998E-2</v>
      </c>
    </row>
    <row r="81" spans="1:11">
      <c r="A81" t="s">
        <v>37</v>
      </c>
      <c r="B81" t="s">
        <v>41</v>
      </c>
      <c r="C81" s="1">
        <v>45536</v>
      </c>
      <c r="D81">
        <v>33</v>
      </c>
      <c r="E81">
        <v>13</v>
      </c>
      <c r="F81">
        <v>517.1</v>
      </c>
      <c r="G81">
        <v>4</v>
      </c>
      <c r="H81">
        <v>0.30769230769230771</v>
      </c>
      <c r="I81">
        <v>250.08</v>
      </c>
      <c r="J81">
        <v>1</v>
      </c>
      <c r="K81">
        <v>6.5299999999999997E-2</v>
      </c>
    </row>
    <row r="82" spans="1:11">
      <c r="A82" t="s">
        <v>35</v>
      </c>
      <c r="B82" t="s">
        <v>41</v>
      </c>
      <c r="C82" s="1">
        <v>45536</v>
      </c>
      <c r="D82">
        <v>98</v>
      </c>
      <c r="E82">
        <v>12</v>
      </c>
      <c r="F82">
        <v>406.95</v>
      </c>
      <c r="G82">
        <v>0</v>
      </c>
      <c r="H82">
        <v>0</v>
      </c>
      <c r="I82">
        <v>2978.09</v>
      </c>
      <c r="J82">
        <v>2</v>
      </c>
      <c r="K82">
        <v>2.3700000000000002E-2</v>
      </c>
    </row>
    <row r="83" spans="1:11">
      <c r="A83" t="s">
        <v>34</v>
      </c>
      <c r="B83" t="s">
        <v>41</v>
      </c>
      <c r="C83" s="1">
        <v>45536</v>
      </c>
      <c r="D83">
        <v>75</v>
      </c>
      <c r="E83">
        <v>8</v>
      </c>
      <c r="F83">
        <v>177.88</v>
      </c>
      <c r="G83">
        <v>7</v>
      </c>
      <c r="H83">
        <v>0.875</v>
      </c>
      <c r="I83">
        <v>507.1</v>
      </c>
      <c r="J83">
        <v>3</v>
      </c>
      <c r="K83">
        <v>9.5199999999999993E-2</v>
      </c>
    </row>
    <row r="84" spans="1:11">
      <c r="A84" t="s">
        <v>33</v>
      </c>
      <c r="B84" t="s">
        <v>41</v>
      </c>
      <c r="C84" s="1">
        <v>45536</v>
      </c>
      <c r="D84">
        <v>105</v>
      </c>
      <c r="E84">
        <v>7</v>
      </c>
      <c r="F84">
        <v>587.83000000000004</v>
      </c>
      <c r="G84">
        <v>1</v>
      </c>
      <c r="H84">
        <v>0.14285714285714285</v>
      </c>
      <c r="I84">
        <v>3601.93</v>
      </c>
      <c r="J84">
        <v>1</v>
      </c>
      <c r="K84">
        <v>3.2199999999999999E-2</v>
      </c>
    </row>
    <row r="85" spans="1:11">
      <c r="A85" t="s">
        <v>32</v>
      </c>
      <c r="B85" t="s">
        <v>41</v>
      </c>
      <c r="C85" s="1">
        <v>45536</v>
      </c>
      <c r="D85">
        <v>18</v>
      </c>
      <c r="E85">
        <v>13</v>
      </c>
      <c r="F85">
        <v>290.14</v>
      </c>
      <c r="G85">
        <v>2</v>
      </c>
      <c r="H85">
        <v>0.15384615384615385</v>
      </c>
      <c r="I85">
        <v>1444.65</v>
      </c>
      <c r="J85">
        <v>2</v>
      </c>
      <c r="K85">
        <v>5.4699999999999999E-2</v>
      </c>
    </row>
    <row r="86" spans="1:11">
      <c r="A86" t="s">
        <v>31</v>
      </c>
      <c r="B86" t="s">
        <v>41</v>
      </c>
      <c r="C86" s="1">
        <v>45536</v>
      </c>
      <c r="D86">
        <v>72</v>
      </c>
      <c r="E86">
        <v>11</v>
      </c>
      <c r="F86">
        <v>459.86</v>
      </c>
      <c r="G86">
        <v>0</v>
      </c>
      <c r="H86">
        <v>0</v>
      </c>
      <c r="I86">
        <v>1269.5999999999999</v>
      </c>
      <c r="J86">
        <v>3</v>
      </c>
      <c r="K86">
        <v>1E-3</v>
      </c>
    </row>
    <row r="87" spans="1:11">
      <c r="A87" t="s">
        <v>30</v>
      </c>
      <c r="B87" t="s">
        <v>41</v>
      </c>
      <c r="C87" s="1">
        <v>45536</v>
      </c>
      <c r="D87">
        <v>86</v>
      </c>
      <c r="E87">
        <v>17</v>
      </c>
      <c r="F87">
        <v>160.88999999999999</v>
      </c>
      <c r="G87">
        <v>4</v>
      </c>
      <c r="H87">
        <v>0.23529411764705882</v>
      </c>
      <c r="I87">
        <v>418.33</v>
      </c>
      <c r="J87">
        <v>1</v>
      </c>
      <c r="K87">
        <v>8.8100000000000012E-2</v>
      </c>
    </row>
    <row r="88" spans="1:11">
      <c r="A88" t="s">
        <v>29</v>
      </c>
      <c r="B88" t="s">
        <v>41</v>
      </c>
      <c r="C88" s="1">
        <v>45536</v>
      </c>
      <c r="D88">
        <v>21</v>
      </c>
      <c r="E88">
        <v>17</v>
      </c>
      <c r="F88">
        <v>533.41999999999996</v>
      </c>
      <c r="G88">
        <v>7</v>
      </c>
      <c r="H88">
        <v>0.41176470588235292</v>
      </c>
      <c r="I88">
        <v>3895.32</v>
      </c>
      <c r="J88">
        <v>2</v>
      </c>
      <c r="K88">
        <v>3.4000000000000002E-2</v>
      </c>
    </row>
    <row r="89" spans="1:11">
      <c r="A89" t="s">
        <v>28</v>
      </c>
      <c r="B89" t="s">
        <v>41</v>
      </c>
      <c r="C89" s="1">
        <v>45536</v>
      </c>
      <c r="D89">
        <v>93</v>
      </c>
      <c r="E89">
        <v>5</v>
      </c>
      <c r="F89">
        <v>77.12</v>
      </c>
      <c r="G89">
        <v>2</v>
      </c>
      <c r="H89">
        <v>0.4</v>
      </c>
      <c r="I89">
        <v>3483.91</v>
      </c>
      <c r="J89">
        <v>3</v>
      </c>
      <c r="K89">
        <v>9.9000000000000005E-2</v>
      </c>
    </row>
    <row r="90" spans="1:11">
      <c r="A90" t="s">
        <v>27</v>
      </c>
      <c r="B90" t="s">
        <v>41</v>
      </c>
      <c r="C90" s="1">
        <v>45536</v>
      </c>
      <c r="D90">
        <v>81</v>
      </c>
      <c r="E90">
        <v>5</v>
      </c>
      <c r="F90">
        <v>153.5</v>
      </c>
      <c r="G90">
        <v>2</v>
      </c>
      <c r="H90">
        <v>0.4</v>
      </c>
      <c r="I90">
        <v>1307.47</v>
      </c>
      <c r="J90">
        <v>1</v>
      </c>
      <c r="K90">
        <v>7.3300000000000004E-2</v>
      </c>
    </row>
    <row r="91" spans="1:11">
      <c r="A91" t="s">
        <v>26</v>
      </c>
      <c r="B91" t="s">
        <v>41</v>
      </c>
      <c r="C91" s="1">
        <v>45536</v>
      </c>
      <c r="D91">
        <v>71</v>
      </c>
      <c r="E91">
        <v>8</v>
      </c>
      <c r="F91">
        <v>199.19</v>
      </c>
      <c r="G91">
        <v>2</v>
      </c>
      <c r="H91">
        <v>0.25</v>
      </c>
      <c r="I91">
        <v>635.24</v>
      </c>
      <c r="J91">
        <v>2</v>
      </c>
      <c r="K91">
        <v>2.9500000000000002E-2</v>
      </c>
    </row>
    <row r="92" spans="1:11">
      <c r="A92" t="s">
        <v>25</v>
      </c>
      <c r="B92" t="s">
        <v>41</v>
      </c>
      <c r="C92" s="1">
        <v>45536</v>
      </c>
      <c r="D92">
        <v>37</v>
      </c>
      <c r="E92">
        <v>8</v>
      </c>
      <c r="F92">
        <v>215.09</v>
      </c>
      <c r="G92">
        <v>2</v>
      </c>
      <c r="H92">
        <v>0.25</v>
      </c>
      <c r="I92">
        <v>3424.83</v>
      </c>
      <c r="J92">
        <v>3</v>
      </c>
      <c r="K92">
        <v>4.07E-2</v>
      </c>
    </row>
    <row r="93" spans="1:11">
      <c r="A93" t="s">
        <v>24</v>
      </c>
      <c r="B93" t="s">
        <v>41</v>
      </c>
      <c r="C93" s="1">
        <v>45536</v>
      </c>
      <c r="D93">
        <v>87</v>
      </c>
      <c r="E93">
        <v>21</v>
      </c>
      <c r="F93">
        <v>633.13</v>
      </c>
      <c r="G93">
        <v>2</v>
      </c>
      <c r="H93">
        <v>9.5238095238095233E-2</v>
      </c>
      <c r="I93">
        <v>336.22</v>
      </c>
      <c r="J93">
        <v>1</v>
      </c>
      <c r="K93">
        <v>3.4500000000000003E-2</v>
      </c>
    </row>
    <row r="94" spans="1:11">
      <c r="A94" t="s">
        <v>23</v>
      </c>
      <c r="B94" t="s">
        <v>41</v>
      </c>
      <c r="C94" s="1">
        <v>45536</v>
      </c>
      <c r="D94">
        <v>38</v>
      </c>
      <c r="E94">
        <v>6</v>
      </c>
      <c r="F94">
        <v>553.89</v>
      </c>
      <c r="G94">
        <v>6</v>
      </c>
      <c r="H94">
        <v>1</v>
      </c>
      <c r="I94">
        <v>4013.79</v>
      </c>
      <c r="J94">
        <v>2</v>
      </c>
      <c r="K94">
        <v>4.3200000000000002E-2</v>
      </c>
    </row>
    <row r="95" spans="1:11">
      <c r="A95" t="s">
        <v>22</v>
      </c>
      <c r="B95" t="s">
        <v>41</v>
      </c>
      <c r="C95" s="1">
        <v>45536</v>
      </c>
      <c r="D95">
        <v>22</v>
      </c>
      <c r="E95">
        <v>7</v>
      </c>
      <c r="F95">
        <v>182.47</v>
      </c>
      <c r="G95">
        <v>7</v>
      </c>
      <c r="H95">
        <v>1</v>
      </c>
      <c r="I95">
        <v>779.86</v>
      </c>
      <c r="J95">
        <v>3</v>
      </c>
      <c r="K95">
        <v>7.2700000000000001E-2</v>
      </c>
    </row>
    <row r="96" spans="1:11">
      <c r="A96" t="s">
        <v>21</v>
      </c>
      <c r="B96" t="s">
        <v>41</v>
      </c>
      <c r="C96" s="1">
        <v>45536</v>
      </c>
      <c r="D96">
        <v>76</v>
      </c>
      <c r="E96">
        <v>18</v>
      </c>
      <c r="F96">
        <v>339.1</v>
      </c>
      <c r="G96">
        <v>8</v>
      </c>
      <c r="H96">
        <v>0.44444444444444442</v>
      </c>
      <c r="I96">
        <v>924.79</v>
      </c>
      <c r="J96">
        <v>1</v>
      </c>
      <c r="K96">
        <v>3.6000000000000004E-2</v>
      </c>
    </row>
    <row r="97" spans="1:11">
      <c r="A97" t="s">
        <v>20</v>
      </c>
      <c r="B97" t="s">
        <v>41</v>
      </c>
      <c r="C97" s="1">
        <v>45536</v>
      </c>
      <c r="D97">
        <v>26</v>
      </c>
      <c r="E97">
        <v>21</v>
      </c>
      <c r="F97">
        <v>359.51</v>
      </c>
      <c r="G97">
        <v>9</v>
      </c>
      <c r="H97">
        <v>0.42857142857142855</v>
      </c>
      <c r="I97">
        <v>1187.3699999999999</v>
      </c>
      <c r="J97">
        <v>2</v>
      </c>
      <c r="K97">
        <v>5.33E-2</v>
      </c>
    </row>
    <row r="98" spans="1:11">
      <c r="A98" t="s">
        <v>19</v>
      </c>
      <c r="B98" t="s">
        <v>41</v>
      </c>
      <c r="C98" s="1">
        <v>45536</v>
      </c>
      <c r="D98">
        <v>57</v>
      </c>
      <c r="E98">
        <v>7</v>
      </c>
      <c r="F98">
        <v>262.27999999999997</v>
      </c>
      <c r="G98">
        <v>7</v>
      </c>
      <c r="H98">
        <v>1</v>
      </c>
      <c r="I98">
        <v>3929.11</v>
      </c>
      <c r="J98">
        <v>3</v>
      </c>
      <c r="K98">
        <v>4.4299999999999999E-2</v>
      </c>
    </row>
    <row r="99" spans="1:11">
      <c r="A99" t="s">
        <v>18</v>
      </c>
      <c r="B99" t="s">
        <v>41</v>
      </c>
      <c r="C99" s="1">
        <v>45536</v>
      </c>
      <c r="D99">
        <v>74</v>
      </c>
      <c r="E99">
        <v>18</v>
      </c>
      <c r="F99">
        <v>306.89999999999998</v>
      </c>
      <c r="G99">
        <v>3</v>
      </c>
      <c r="H99">
        <v>0.16666666666666666</v>
      </c>
      <c r="I99">
        <v>2254.16</v>
      </c>
      <c r="J99">
        <v>1</v>
      </c>
      <c r="K99">
        <v>9.64E-2</v>
      </c>
    </row>
    <row r="100" spans="1:11">
      <c r="A100" t="s">
        <v>17</v>
      </c>
      <c r="B100" t="s">
        <v>41</v>
      </c>
      <c r="C100" s="1">
        <v>45536</v>
      </c>
      <c r="D100">
        <v>69</v>
      </c>
      <c r="E100">
        <v>7</v>
      </c>
      <c r="F100">
        <v>549.77</v>
      </c>
      <c r="G100">
        <v>2</v>
      </c>
      <c r="H100">
        <v>0.2857142857142857</v>
      </c>
      <c r="I100">
        <v>3916.58</v>
      </c>
      <c r="J100">
        <v>2</v>
      </c>
      <c r="K100">
        <v>1.2E-2</v>
      </c>
    </row>
    <row r="101" spans="1:11">
      <c r="A101" t="s">
        <v>16</v>
      </c>
      <c r="B101" t="s">
        <v>41</v>
      </c>
      <c r="C101" s="1">
        <v>45536</v>
      </c>
      <c r="D101">
        <v>77</v>
      </c>
      <c r="E101">
        <v>11</v>
      </c>
      <c r="F101">
        <v>487.47</v>
      </c>
      <c r="G101">
        <v>4</v>
      </c>
      <c r="H101">
        <v>0.36363636363636365</v>
      </c>
      <c r="I101">
        <v>990.89</v>
      </c>
      <c r="J101">
        <v>3</v>
      </c>
      <c r="K101">
        <v>4.3299999999999998E-2</v>
      </c>
    </row>
    <row r="102" spans="1:11">
      <c r="A102" t="s">
        <v>15</v>
      </c>
      <c r="B102" t="s">
        <v>41</v>
      </c>
      <c r="C102" s="1">
        <v>45536</v>
      </c>
      <c r="D102">
        <v>24</v>
      </c>
      <c r="E102">
        <v>7</v>
      </c>
      <c r="F102">
        <v>79.62</v>
      </c>
      <c r="G102">
        <v>4</v>
      </c>
      <c r="H102">
        <v>0.5714285714285714</v>
      </c>
      <c r="I102">
        <v>1650.69</v>
      </c>
      <c r="J102">
        <v>1</v>
      </c>
      <c r="K102">
        <v>3.0600000000000002E-2</v>
      </c>
    </row>
    <row r="103" spans="1:11">
      <c r="A103" t="s">
        <v>14</v>
      </c>
      <c r="B103" t="s">
        <v>41</v>
      </c>
      <c r="C103" s="1">
        <v>45536</v>
      </c>
      <c r="D103">
        <v>57</v>
      </c>
      <c r="E103">
        <v>18</v>
      </c>
      <c r="F103">
        <v>403.41</v>
      </c>
      <c r="G103">
        <v>3</v>
      </c>
      <c r="H103">
        <v>0.16666666666666666</v>
      </c>
      <c r="I103">
        <v>3767.63</v>
      </c>
      <c r="J103">
        <v>2</v>
      </c>
      <c r="K103">
        <v>4.24E-2</v>
      </c>
    </row>
    <row r="104" spans="1:11">
      <c r="A104" t="s">
        <v>13</v>
      </c>
      <c r="B104" t="s">
        <v>41</v>
      </c>
      <c r="C104" s="1">
        <v>45536</v>
      </c>
      <c r="D104">
        <v>79</v>
      </c>
      <c r="E104">
        <v>9</v>
      </c>
      <c r="F104">
        <v>358.67</v>
      </c>
      <c r="G104">
        <v>5</v>
      </c>
      <c r="H104">
        <v>0.55555555555555558</v>
      </c>
      <c r="I104">
        <v>3658.64</v>
      </c>
      <c r="J104">
        <v>3</v>
      </c>
      <c r="K104">
        <v>3.7499999999999999E-2</v>
      </c>
    </row>
    <row r="105" spans="1:11">
      <c r="A105" t="s">
        <v>11</v>
      </c>
      <c r="B105" t="s">
        <v>41</v>
      </c>
      <c r="C105" s="1">
        <v>45536</v>
      </c>
      <c r="D105">
        <v>51</v>
      </c>
      <c r="E105">
        <v>15</v>
      </c>
      <c r="F105">
        <v>349.71</v>
      </c>
      <c r="G105">
        <v>8</v>
      </c>
      <c r="H105">
        <v>0.53333333333333333</v>
      </c>
      <c r="I105">
        <v>4017.54</v>
      </c>
      <c r="J105">
        <v>1</v>
      </c>
      <c r="K105">
        <v>2.92E-2</v>
      </c>
    </row>
    <row r="106" spans="1:11">
      <c r="A106" t="s">
        <v>38</v>
      </c>
      <c r="B106" t="s">
        <v>41</v>
      </c>
      <c r="C106" s="1">
        <v>45505</v>
      </c>
      <c r="D106">
        <v>40</v>
      </c>
      <c r="E106">
        <v>17</v>
      </c>
      <c r="F106">
        <v>355.83</v>
      </c>
      <c r="G106">
        <v>6</v>
      </c>
      <c r="H106">
        <v>0.35294117647058826</v>
      </c>
      <c r="I106">
        <v>4155.8599999999997</v>
      </c>
      <c r="J106">
        <v>1</v>
      </c>
      <c r="K106">
        <v>8.8000000000000009E-2</v>
      </c>
    </row>
    <row r="107" spans="1:11">
      <c r="A107" t="s">
        <v>37</v>
      </c>
      <c r="B107" t="s">
        <v>41</v>
      </c>
      <c r="C107" s="1">
        <v>45505</v>
      </c>
      <c r="D107">
        <v>34</v>
      </c>
      <c r="E107">
        <v>10</v>
      </c>
      <c r="F107">
        <v>565.11</v>
      </c>
      <c r="G107">
        <v>5</v>
      </c>
      <c r="H107">
        <v>0.5</v>
      </c>
      <c r="I107">
        <v>222.62</v>
      </c>
      <c r="J107">
        <v>2</v>
      </c>
      <c r="K107">
        <v>7.1800000000000003E-2</v>
      </c>
    </row>
    <row r="108" spans="1:11">
      <c r="A108" t="s">
        <v>35</v>
      </c>
      <c r="B108" t="s">
        <v>41</v>
      </c>
      <c r="C108" s="1">
        <v>45505</v>
      </c>
      <c r="D108">
        <v>115</v>
      </c>
      <c r="E108">
        <v>17</v>
      </c>
      <c r="F108">
        <v>422.48</v>
      </c>
      <c r="G108">
        <v>0</v>
      </c>
      <c r="H108">
        <v>0</v>
      </c>
      <c r="I108">
        <v>2681.51</v>
      </c>
      <c r="J108">
        <v>3</v>
      </c>
      <c r="K108">
        <v>2.5000000000000001E-2</v>
      </c>
    </row>
    <row r="109" spans="1:11">
      <c r="A109" t="s">
        <v>34</v>
      </c>
      <c r="B109" t="s">
        <v>41</v>
      </c>
      <c r="C109" s="1">
        <v>45505</v>
      </c>
      <c r="D109">
        <v>71</v>
      </c>
      <c r="E109">
        <v>9</v>
      </c>
      <c r="F109">
        <v>172.96</v>
      </c>
      <c r="G109">
        <v>6</v>
      </c>
      <c r="H109">
        <v>0.66666666666666663</v>
      </c>
      <c r="I109">
        <v>464.49</v>
      </c>
      <c r="J109">
        <v>1</v>
      </c>
      <c r="K109">
        <v>8.2699999999999996E-2</v>
      </c>
    </row>
    <row r="110" spans="1:11">
      <c r="A110" t="s">
        <v>33</v>
      </c>
      <c r="B110" t="s">
        <v>41</v>
      </c>
      <c r="C110" s="1">
        <v>45505</v>
      </c>
      <c r="D110">
        <v>106</v>
      </c>
      <c r="E110">
        <v>6</v>
      </c>
      <c r="F110">
        <v>572.16</v>
      </c>
      <c r="G110">
        <v>2</v>
      </c>
      <c r="H110">
        <v>0.33333333333333331</v>
      </c>
      <c r="I110">
        <v>3398.37</v>
      </c>
      <c r="J110">
        <v>2</v>
      </c>
      <c r="K110">
        <v>2.87E-2</v>
      </c>
    </row>
    <row r="111" spans="1:11">
      <c r="A111" t="s">
        <v>32</v>
      </c>
      <c r="B111" t="s">
        <v>41</v>
      </c>
      <c r="C111" s="1">
        <v>45505</v>
      </c>
      <c r="D111">
        <v>18</v>
      </c>
      <c r="E111">
        <v>12</v>
      </c>
      <c r="F111">
        <v>262.26</v>
      </c>
      <c r="G111">
        <v>1</v>
      </c>
      <c r="H111">
        <v>8.3333333333333329E-2</v>
      </c>
      <c r="I111">
        <v>1573.7</v>
      </c>
      <c r="J111">
        <v>3</v>
      </c>
      <c r="K111">
        <v>5.1299999999999998E-2</v>
      </c>
    </row>
    <row r="112" spans="1:11">
      <c r="A112" t="s">
        <v>31</v>
      </c>
      <c r="B112" t="s">
        <v>41</v>
      </c>
      <c r="C112" s="1">
        <v>45505</v>
      </c>
      <c r="D112">
        <v>80</v>
      </c>
      <c r="E112">
        <v>13</v>
      </c>
      <c r="F112">
        <v>504.59</v>
      </c>
      <c r="G112">
        <v>0</v>
      </c>
      <c r="H112">
        <v>0</v>
      </c>
      <c r="I112">
        <v>1265.47</v>
      </c>
      <c r="J112">
        <v>1</v>
      </c>
      <c r="K112">
        <v>1E-3</v>
      </c>
    </row>
    <row r="113" spans="1:11">
      <c r="A113" t="s">
        <v>30</v>
      </c>
      <c r="B113" t="s">
        <v>41</v>
      </c>
      <c r="C113" s="1">
        <v>45505</v>
      </c>
      <c r="D113">
        <v>85</v>
      </c>
      <c r="E113">
        <v>17</v>
      </c>
      <c r="F113">
        <v>187.72</v>
      </c>
      <c r="G113">
        <v>5</v>
      </c>
      <c r="H113">
        <v>0.29411764705882354</v>
      </c>
      <c r="I113">
        <v>443.22</v>
      </c>
      <c r="J113">
        <v>2</v>
      </c>
      <c r="K113">
        <v>0.1016</v>
      </c>
    </row>
    <row r="114" spans="1:11">
      <c r="A114" t="s">
        <v>29</v>
      </c>
      <c r="B114" t="s">
        <v>41</v>
      </c>
      <c r="C114" s="1">
        <v>45505</v>
      </c>
      <c r="D114">
        <v>22</v>
      </c>
      <c r="E114">
        <v>14</v>
      </c>
      <c r="F114">
        <v>477.3</v>
      </c>
      <c r="G114">
        <v>6</v>
      </c>
      <c r="H114">
        <v>0.42857142857142855</v>
      </c>
      <c r="I114">
        <v>3790.05</v>
      </c>
      <c r="J114">
        <v>3</v>
      </c>
      <c r="K114">
        <v>3.32E-2</v>
      </c>
    </row>
    <row r="115" spans="1:11">
      <c r="A115" t="s">
        <v>28</v>
      </c>
      <c r="B115" t="s">
        <v>41</v>
      </c>
      <c r="C115" s="1">
        <v>45505</v>
      </c>
      <c r="D115">
        <v>71</v>
      </c>
      <c r="E115">
        <v>6</v>
      </c>
      <c r="F115">
        <v>87.5</v>
      </c>
      <c r="G115">
        <v>3</v>
      </c>
      <c r="H115">
        <v>0.5</v>
      </c>
      <c r="I115">
        <v>3666.64</v>
      </c>
      <c r="J115">
        <v>1</v>
      </c>
      <c r="K115">
        <v>9.1300000000000006E-2</v>
      </c>
    </row>
    <row r="116" spans="1:11">
      <c r="A116" t="s">
        <v>27</v>
      </c>
      <c r="B116" t="s">
        <v>41</v>
      </c>
      <c r="C116" s="1">
        <v>45505</v>
      </c>
      <c r="D116">
        <v>104</v>
      </c>
      <c r="E116">
        <v>4</v>
      </c>
      <c r="F116">
        <v>169.75</v>
      </c>
      <c r="G116">
        <v>3</v>
      </c>
      <c r="H116">
        <v>0.75</v>
      </c>
      <c r="I116">
        <v>1255.83</v>
      </c>
      <c r="J116">
        <v>2</v>
      </c>
      <c r="K116">
        <v>7.7600000000000002E-2</v>
      </c>
    </row>
    <row r="117" spans="1:11">
      <c r="A117" t="s">
        <v>26</v>
      </c>
      <c r="B117" t="s">
        <v>41</v>
      </c>
      <c r="C117" s="1">
        <v>45505</v>
      </c>
      <c r="D117">
        <v>73</v>
      </c>
      <c r="E117">
        <v>8</v>
      </c>
      <c r="F117">
        <v>191.76</v>
      </c>
      <c r="G117">
        <v>3</v>
      </c>
      <c r="H117">
        <v>0.375</v>
      </c>
      <c r="I117">
        <v>675.97</v>
      </c>
      <c r="J117">
        <v>3</v>
      </c>
      <c r="K117">
        <v>3.0200000000000001E-2</v>
      </c>
    </row>
    <row r="118" spans="1:11">
      <c r="A118" t="s">
        <v>25</v>
      </c>
      <c r="B118" t="s">
        <v>41</v>
      </c>
      <c r="C118" s="1">
        <v>45505</v>
      </c>
      <c r="D118">
        <v>35</v>
      </c>
      <c r="E118">
        <v>6</v>
      </c>
      <c r="F118">
        <v>192.19</v>
      </c>
      <c r="G118">
        <v>1</v>
      </c>
      <c r="H118">
        <v>0.16666666666666666</v>
      </c>
      <c r="I118">
        <v>3963.32</v>
      </c>
      <c r="J118">
        <v>2</v>
      </c>
      <c r="K118">
        <v>3.9800000000000002E-2</v>
      </c>
    </row>
    <row r="119" spans="1:11">
      <c r="A119" t="s">
        <v>24</v>
      </c>
      <c r="B119" t="s">
        <v>41</v>
      </c>
      <c r="C119" s="1">
        <v>45505</v>
      </c>
      <c r="D119">
        <v>83</v>
      </c>
      <c r="E119">
        <v>15</v>
      </c>
      <c r="F119">
        <v>601.05999999999995</v>
      </c>
      <c r="G119">
        <v>3</v>
      </c>
      <c r="H119">
        <v>0.2</v>
      </c>
      <c r="I119">
        <v>350.62</v>
      </c>
      <c r="J119">
        <v>3</v>
      </c>
      <c r="K119">
        <v>3.6600000000000001E-2</v>
      </c>
    </row>
    <row r="120" spans="1:11">
      <c r="A120" t="s">
        <v>23</v>
      </c>
      <c r="B120" t="s">
        <v>41</v>
      </c>
      <c r="C120" s="1">
        <v>45505</v>
      </c>
      <c r="D120">
        <v>30</v>
      </c>
      <c r="E120">
        <v>6</v>
      </c>
      <c r="F120">
        <v>549.26</v>
      </c>
      <c r="G120">
        <v>2</v>
      </c>
      <c r="H120">
        <v>0.33333333333333331</v>
      </c>
      <c r="I120">
        <v>3868.36</v>
      </c>
      <c r="J120">
        <v>1</v>
      </c>
      <c r="K120">
        <v>4.2800000000000005E-2</v>
      </c>
    </row>
    <row r="121" spans="1:11">
      <c r="A121" t="s">
        <v>22</v>
      </c>
      <c r="B121" t="s">
        <v>41</v>
      </c>
      <c r="C121" s="1">
        <v>45505</v>
      </c>
      <c r="D121">
        <v>22</v>
      </c>
      <c r="E121">
        <v>9</v>
      </c>
      <c r="F121">
        <v>211.28</v>
      </c>
      <c r="G121">
        <v>8</v>
      </c>
      <c r="H121">
        <v>0.88888888888888884</v>
      </c>
      <c r="I121">
        <v>772.77</v>
      </c>
      <c r="J121">
        <v>2</v>
      </c>
      <c r="K121">
        <v>8.0600000000000005E-2</v>
      </c>
    </row>
    <row r="122" spans="1:11">
      <c r="A122" t="s">
        <v>21</v>
      </c>
      <c r="B122" t="s">
        <v>41</v>
      </c>
      <c r="C122" s="1">
        <v>45505</v>
      </c>
      <c r="D122">
        <v>65</v>
      </c>
      <c r="E122">
        <v>13</v>
      </c>
      <c r="F122">
        <v>324.26</v>
      </c>
      <c r="G122">
        <v>7</v>
      </c>
      <c r="H122">
        <v>0.53846153846153844</v>
      </c>
      <c r="I122">
        <v>1044.8599999999999</v>
      </c>
      <c r="J122">
        <v>3</v>
      </c>
      <c r="K122">
        <v>3.5200000000000002E-2</v>
      </c>
    </row>
    <row r="123" spans="1:11">
      <c r="A123" t="s">
        <v>20</v>
      </c>
      <c r="B123" t="s">
        <v>41</v>
      </c>
      <c r="C123" s="1">
        <v>45505</v>
      </c>
      <c r="D123">
        <v>26</v>
      </c>
      <c r="E123">
        <v>17</v>
      </c>
      <c r="F123">
        <v>391.73</v>
      </c>
      <c r="G123">
        <v>7</v>
      </c>
      <c r="H123">
        <v>0.41176470588235292</v>
      </c>
      <c r="I123">
        <v>1166.55</v>
      </c>
      <c r="J123">
        <v>1</v>
      </c>
      <c r="K123">
        <v>6.1200000000000004E-2</v>
      </c>
    </row>
    <row r="124" spans="1:11">
      <c r="A124" t="s">
        <v>19</v>
      </c>
      <c r="B124" t="s">
        <v>41</v>
      </c>
      <c r="C124" s="1">
        <v>45505</v>
      </c>
      <c r="D124">
        <v>64</v>
      </c>
      <c r="E124">
        <v>9</v>
      </c>
      <c r="F124">
        <v>255.17</v>
      </c>
      <c r="G124">
        <v>6</v>
      </c>
      <c r="H124">
        <v>0.66666666666666663</v>
      </c>
      <c r="I124">
        <v>4136.6899999999996</v>
      </c>
      <c r="J124">
        <v>2</v>
      </c>
      <c r="K124">
        <v>3.8199999999999998E-2</v>
      </c>
    </row>
    <row r="125" spans="1:11">
      <c r="A125" t="s">
        <v>18</v>
      </c>
      <c r="B125" t="s">
        <v>41</v>
      </c>
      <c r="C125" s="1">
        <v>45505</v>
      </c>
      <c r="D125">
        <v>76</v>
      </c>
      <c r="E125">
        <v>21</v>
      </c>
      <c r="F125">
        <v>293.93</v>
      </c>
      <c r="G125">
        <v>2</v>
      </c>
      <c r="H125">
        <v>9.5238095238095233E-2</v>
      </c>
      <c r="I125">
        <v>2531.4</v>
      </c>
      <c r="J125">
        <v>3</v>
      </c>
      <c r="K125">
        <v>0.1012</v>
      </c>
    </row>
    <row r="126" spans="1:11">
      <c r="A126" t="s">
        <v>17</v>
      </c>
      <c r="B126" t="s">
        <v>41</v>
      </c>
      <c r="C126" s="1">
        <v>45505</v>
      </c>
      <c r="D126">
        <v>64</v>
      </c>
      <c r="E126">
        <v>7</v>
      </c>
      <c r="F126">
        <v>554.20000000000005</v>
      </c>
      <c r="G126">
        <v>2</v>
      </c>
      <c r="H126">
        <v>0.2857142857142857</v>
      </c>
      <c r="I126">
        <v>3620.9</v>
      </c>
      <c r="J126">
        <v>1</v>
      </c>
      <c r="K126">
        <v>1.23E-2</v>
      </c>
    </row>
    <row r="127" spans="1:11">
      <c r="A127" t="s">
        <v>16</v>
      </c>
      <c r="B127" t="s">
        <v>41</v>
      </c>
      <c r="C127" s="1">
        <v>45505</v>
      </c>
      <c r="D127">
        <v>72</v>
      </c>
      <c r="E127">
        <v>14</v>
      </c>
      <c r="F127">
        <v>437.47</v>
      </c>
      <c r="G127">
        <v>4</v>
      </c>
      <c r="H127">
        <v>0.2857142857142857</v>
      </c>
      <c r="I127">
        <v>958.02</v>
      </c>
      <c r="J127">
        <v>2</v>
      </c>
      <c r="K127">
        <v>3.9100000000000003E-2</v>
      </c>
    </row>
    <row r="128" spans="1:11">
      <c r="A128" t="s">
        <v>15</v>
      </c>
      <c r="B128" t="s">
        <v>41</v>
      </c>
      <c r="C128" s="1">
        <v>45505</v>
      </c>
      <c r="D128">
        <v>18</v>
      </c>
      <c r="E128">
        <v>8</v>
      </c>
      <c r="F128">
        <v>82.91</v>
      </c>
      <c r="G128">
        <v>3</v>
      </c>
      <c r="H128">
        <v>0.375</v>
      </c>
      <c r="I128">
        <v>1387.86</v>
      </c>
      <c r="J128">
        <v>3</v>
      </c>
      <c r="K128">
        <v>3.0099999999999998E-2</v>
      </c>
    </row>
    <row r="129" spans="1:11">
      <c r="A129" t="s">
        <v>14</v>
      </c>
      <c r="B129" t="s">
        <v>41</v>
      </c>
      <c r="C129" s="1">
        <v>45505</v>
      </c>
      <c r="D129">
        <v>53</v>
      </c>
      <c r="E129">
        <v>15</v>
      </c>
      <c r="F129">
        <v>379.29</v>
      </c>
      <c r="G129">
        <v>2</v>
      </c>
      <c r="H129">
        <v>0.13333333333333333</v>
      </c>
      <c r="I129">
        <v>3409.69</v>
      </c>
      <c r="J129">
        <v>1</v>
      </c>
      <c r="K129">
        <v>4.41E-2</v>
      </c>
    </row>
    <row r="130" spans="1:11">
      <c r="A130" t="s">
        <v>13</v>
      </c>
      <c r="B130" t="s">
        <v>41</v>
      </c>
      <c r="C130" s="1">
        <v>45505</v>
      </c>
      <c r="D130">
        <v>66</v>
      </c>
      <c r="E130">
        <v>13</v>
      </c>
      <c r="F130">
        <v>376.76</v>
      </c>
      <c r="G130">
        <v>5</v>
      </c>
      <c r="H130">
        <v>0.38461538461538464</v>
      </c>
      <c r="I130">
        <v>3819.73</v>
      </c>
      <c r="J130">
        <v>1</v>
      </c>
      <c r="K130">
        <v>4.4900000000000002E-2</v>
      </c>
    </row>
    <row r="131" spans="1:11">
      <c r="A131" t="s">
        <v>11</v>
      </c>
      <c r="B131" t="s">
        <v>41</v>
      </c>
      <c r="C131" s="1">
        <v>45505</v>
      </c>
      <c r="D131">
        <v>71</v>
      </c>
      <c r="E131">
        <v>15</v>
      </c>
      <c r="F131">
        <v>297.05</v>
      </c>
      <c r="G131">
        <v>6</v>
      </c>
      <c r="H131">
        <v>0.4</v>
      </c>
      <c r="I131">
        <v>4043.62</v>
      </c>
      <c r="J131">
        <v>2</v>
      </c>
      <c r="K131">
        <v>2.7200000000000002E-2</v>
      </c>
    </row>
    <row r="132" spans="1:11">
      <c r="A132" t="s">
        <v>38</v>
      </c>
      <c r="B132" t="s">
        <v>41</v>
      </c>
      <c r="C132" s="1">
        <v>45474</v>
      </c>
      <c r="D132">
        <v>38</v>
      </c>
      <c r="E132">
        <v>14</v>
      </c>
      <c r="F132">
        <v>359.22</v>
      </c>
      <c r="G132">
        <v>8</v>
      </c>
      <c r="H132">
        <v>0.5714285714285714</v>
      </c>
      <c r="I132">
        <v>3846.34</v>
      </c>
      <c r="J132">
        <v>3</v>
      </c>
      <c r="K132">
        <v>8.5900000000000004E-2</v>
      </c>
    </row>
    <row r="133" spans="1:11">
      <c r="A133" t="s">
        <v>37</v>
      </c>
      <c r="B133" t="s">
        <v>41</v>
      </c>
      <c r="C133" s="1">
        <v>45474</v>
      </c>
      <c r="D133">
        <v>41</v>
      </c>
      <c r="E133">
        <v>9</v>
      </c>
      <c r="F133">
        <v>569.97</v>
      </c>
      <c r="G133">
        <v>5</v>
      </c>
      <c r="H133">
        <v>0.55555555555555558</v>
      </c>
      <c r="I133">
        <v>259.86</v>
      </c>
      <c r="J133">
        <v>1</v>
      </c>
      <c r="K133">
        <v>6.3299999999999995E-2</v>
      </c>
    </row>
    <row r="134" spans="1:11">
      <c r="A134" t="s">
        <v>35</v>
      </c>
      <c r="B134" t="s">
        <v>41</v>
      </c>
      <c r="C134" s="1">
        <v>45474</v>
      </c>
      <c r="D134">
        <v>103</v>
      </c>
      <c r="E134">
        <v>15</v>
      </c>
      <c r="F134">
        <v>359.16</v>
      </c>
      <c r="G134">
        <v>1</v>
      </c>
      <c r="H134">
        <v>6.6666666666666666E-2</v>
      </c>
      <c r="I134">
        <v>2949.94</v>
      </c>
      <c r="J134">
        <v>2</v>
      </c>
      <c r="K134">
        <v>2.3599999999999999E-2</v>
      </c>
    </row>
    <row r="135" spans="1:11">
      <c r="A135" t="s">
        <v>34</v>
      </c>
      <c r="B135" t="s">
        <v>41</v>
      </c>
      <c r="C135" s="1">
        <v>45474</v>
      </c>
      <c r="D135">
        <v>82</v>
      </c>
      <c r="E135">
        <v>9</v>
      </c>
      <c r="F135">
        <v>171.86</v>
      </c>
      <c r="G135">
        <v>7</v>
      </c>
      <c r="H135">
        <v>0.77777777777777779</v>
      </c>
      <c r="I135">
        <v>506.88</v>
      </c>
      <c r="J135">
        <v>3</v>
      </c>
      <c r="K135">
        <v>9.4100000000000003E-2</v>
      </c>
    </row>
    <row r="136" spans="1:11">
      <c r="A136" t="s">
        <v>33</v>
      </c>
      <c r="B136" t="s">
        <v>41</v>
      </c>
      <c r="C136" s="1">
        <v>45474</v>
      </c>
      <c r="D136">
        <v>79</v>
      </c>
      <c r="E136">
        <v>6</v>
      </c>
      <c r="F136">
        <v>536.04999999999995</v>
      </c>
      <c r="G136">
        <v>1</v>
      </c>
      <c r="H136">
        <v>0.16666666666666666</v>
      </c>
      <c r="I136">
        <v>3682.29</v>
      </c>
      <c r="J136">
        <v>1</v>
      </c>
      <c r="K136">
        <v>3.2099999999999997E-2</v>
      </c>
    </row>
    <row r="137" spans="1:11">
      <c r="A137" t="s">
        <v>17</v>
      </c>
      <c r="B137" t="s">
        <v>41</v>
      </c>
      <c r="C137" s="1">
        <v>45444</v>
      </c>
      <c r="D137">
        <v>49</v>
      </c>
      <c r="E137">
        <v>7</v>
      </c>
      <c r="F137">
        <v>512.88</v>
      </c>
      <c r="G137">
        <v>2</v>
      </c>
      <c r="H137">
        <v>0.2857142857142857</v>
      </c>
      <c r="I137">
        <v>3545.66</v>
      </c>
      <c r="J137">
        <v>1</v>
      </c>
      <c r="K137">
        <v>1.2699999999999999E-2</v>
      </c>
    </row>
    <row r="138" spans="1:11">
      <c r="A138" t="s">
        <v>18</v>
      </c>
      <c r="B138" t="s">
        <v>41</v>
      </c>
      <c r="C138" s="1">
        <v>45444</v>
      </c>
      <c r="D138">
        <v>85</v>
      </c>
      <c r="E138">
        <v>17</v>
      </c>
      <c r="F138">
        <v>324.56</v>
      </c>
      <c r="G138">
        <v>3</v>
      </c>
      <c r="H138">
        <v>0.17647058823529413</v>
      </c>
      <c r="I138">
        <v>2420.5300000000002</v>
      </c>
      <c r="J138">
        <v>3</v>
      </c>
      <c r="K138">
        <v>8.929999999999999E-2</v>
      </c>
    </row>
    <row r="139" spans="1:11">
      <c r="A139" t="s">
        <v>19</v>
      </c>
      <c r="B139" t="s">
        <v>41</v>
      </c>
      <c r="C139" s="1">
        <v>45444</v>
      </c>
      <c r="D139">
        <v>61</v>
      </c>
      <c r="E139">
        <v>7</v>
      </c>
      <c r="F139">
        <v>219.53</v>
      </c>
      <c r="G139">
        <v>7</v>
      </c>
      <c r="H139">
        <v>1</v>
      </c>
      <c r="I139">
        <v>3860.12</v>
      </c>
      <c r="J139">
        <v>2</v>
      </c>
      <c r="K139">
        <v>4.3499999999999997E-2</v>
      </c>
    </row>
    <row r="140" spans="1:11">
      <c r="A140" t="s">
        <v>20</v>
      </c>
      <c r="B140" t="s">
        <v>41</v>
      </c>
      <c r="C140" s="1">
        <v>45444</v>
      </c>
      <c r="D140">
        <v>30</v>
      </c>
      <c r="E140">
        <v>16</v>
      </c>
      <c r="F140">
        <v>353.65</v>
      </c>
      <c r="G140">
        <v>9</v>
      </c>
      <c r="H140">
        <v>0.5625</v>
      </c>
      <c r="I140">
        <v>1213.5899999999999</v>
      </c>
      <c r="J140">
        <v>1</v>
      </c>
      <c r="K140">
        <v>6.2E-2</v>
      </c>
    </row>
    <row r="141" spans="1:11">
      <c r="A141" t="s">
        <v>21</v>
      </c>
      <c r="B141" t="s">
        <v>41</v>
      </c>
      <c r="C141" s="1">
        <v>45444</v>
      </c>
      <c r="D141">
        <v>54</v>
      </c>
      <c r="E141">
        <v>16</v>
      </c>
      <c r="F141">
        <v>334.41</v>
      </c>
      <c r="G141">
        <v>9</v>
      </c>
      <c r="H141">
        <v>0.5625</v>
      </c>
      <c r="I141">
        <v>1056.98</v>
      </c>
      <c r="J141">
        <v>3</v>
      </c>
      <c r="K141">
        <v>3.5200000000000002E-2</v>
      </c>
    </row>
    <row r="142" spans="1:11">
      <c r="A142" t="s">
        <v>22</v>
      </c>
      <c r="B142" t="s">
        <v>41</v>
      </c>
      <c r="C142" s="1">
        <v>45444</v>
      </c>
      <c r="D142">
        <v>19</v>
      </c>
      <c r="E142">
        <v>7</v>
      </c>
      <c r="F142">
        <v>199.46</v>
      </c>
      <c r="G142">
        <v>7</v>
      </c>
      <c r="H142">
        <v>1</v>
      </c>
      <c r="I142">
        <v>809.56</v>
      </c>
      <c r="J142">
        <v>2</v>
      </c>
      <c r="K142">
        <v>7.1399999999999991E-2</v>
      </c>
    </row>
    <row r="143" spans="1:11">
      <c r="A143" t="s">
        <v>23</v>
      </c>
      <c r="B143" t="s">
        <v>41</v>
      </c>
      <c r="C143" s="1">
        <v>45444</v>
      </c>
      <c r="D143">
        <v>40</v>
      </c>
      <c r="E143">
        <v>6</v>
      </c>
      <c r="F143">
        <v>509.67</v>
      </c>
      <c r="G143">
        <v>4</v>
      </c>
      <c r="H143">
        <v>0.66666666666666663</v>
      </c>
      <c r="I143">
        <v>3330.44</v>
      </c>
      <c r="J143">
        <v>1</v>
      </c>
      <c r="K143">
        <v>3.8300000000000001E-2</v>
      </c>
    </row>
    <row r="144" spans="1:11">
      <c r="A144" t="s">
        <v>24</v>
      </c>
      <c r="B144" t="s">
        <v>41</v>
      </c>
      <c r="C144" s="1">
        <v>45444</v>
      </c>
      <c r="D144">
        <v>73</v>
      </c>
      <c r="E144">
        <v>21</v>
      </c>
      <c r="F144">
        <v>601.02</v>
      </c>
      <c r="G144">
        <v>2</v>
      </c>
      <c r="H144">
        <v>9.5238095238095233E-2</v>
      </c>
      <c r="I144">
        <v>364.56</v>
      </c>
      <c r="J144">
        <v>3</v>
      </c>
      <c r="K144">
        <v>3.4300000000000004E-2</v>
      </c>
    </row>
    <row r="145" spans="1:11">
      <c r="A145" t="s">
        <v>25</v>
      </c>
      <c r="B145" t="s">
        <v>41</v>
      </c>
      <c r="C145" s="1">
        <v>45444</v>
      </c>
      <c r="D145">
        <v>36</v>
      </c>
      <c r="E145">
        <v>9</v>
      </c>
      <c r="F145">
        <v>196.74</v>
      </c>
      <c r="G145">
        <v>1</v>
      </c>
      <c r="H145">
        <v>0.1111111111111111</v>
      </c>
      <c r="I145">
        <v>3760.57</v>
      </c>
      <c r="J145">
        <v>2</v>
      </c>
      <c r="K145">
        <v>3.9800000000000002E-2</v>
      </c>
    </row>
    <row r="146" spans="1:11">
      <c r="A146" t="s">
        <v>26</v>
      </c>
      <c r="B146" t="s">
        <v>41</v>
      </c>
      <c r="C146" s="1">
        <v>45444</v>
      </c>
      <c r="D146">
        <v>58</v>
      </c>
      <c r="E146">
        <v>8</v>
      </c>
      <c r="F146">
        <v>196.58</v>
      </c>
      <c r="G146">
        <v>3</v>
      </c>
      <c r="H146">
        <v>0.375</v>
      </c>
      <c r="I146">
        <v>692.47</v>
      </c>
      <c r="J146">
        <v>1</v>
      </c>
      <c r="K146">
        <v>3.27E-2</v>
      </c>
    </row>
    <row r="147" spans="1:11">
      <c r="A147" t="s">
        <v>27</v>
      </c>
      <c r="B147" t="s">
        <v>41</v>
      </c>
      <c r="C147" s="1">
        <v>45444</v>
      </c>
      <c r="D147">
        <v>100</v>
      </c>
      <c r="E147">
        <v>5</v>
      </c>
      <c r="F147">
        <v>153.87</v>
      </c>
      <c r="G147">
        <v>2</v>
      </c>
      <c r="H147">
        <v>0.4</v>
      </c>
      <c r="I147">
        <v>1190.24</v>
      </c>
      <c r="J147">
        <v>3</v>
      </c>
      <c r="K147">
        <v>8.0600000000000005E-2</v>
      </c>
    </row>
    <row r="148" spans="1:11">
      <c r="A148" t="s">
        <v>28</v>
      </c>
      <c r="B148" t="s">
        <v>41</v>
      </c>
      <c r="C148" s="1">
        <v>45444</v>
      </c>
      <c r="D148">
        <v>93</v>
      </c>
      <c r="E148">
        <v>5</v>
      </c>
      <c r="F148">
        <v>85.65</v>
      </c>
      <c r="G148">
        <v>5</v>
      </c>
      <c r="H148">
        <v>1</v>
      </c>
      <c r="I148">
        <v>3913.17</v>
      </c>
      <c r="J148">
        <v>2</v>
      </c>
      <c r="K148">
        <v>9.5700000000000007E-2</v>
      </c>
    </row>
    <row r="149" spans="1:11">
      <c r="A149" t="s">
        <v>29</v>
      </c>
      <c r="B149" t="s">
        <v>41</v>
      </c>
      <c r="C149" s="1">
        <v>45444</v>
      </c>
      <c r="D149">
        <v>28</v>
      </c>
      <c r="E149">
        <v>16</v>
      </c>
      <c r="F149">
        <v>506.95</v>
      </c>
      <c r="G149">
        <v>6</v>
      </c>
      <c r="H149">
        <v>0.375</v>
      </c>
      <c r="I149">
        <v>3993.03</v>
      </c>
      <c r="J149">
        <v>3</v>
      </c>
      <c r="K149">
        <v>3.0600000000000002E-2</v>
      </c>
    </row>
    <row r="150" spans="1:11">
      <c r="A150" t="s">
        <v>30</v>
      </c>
      <c r="B150" t="s">
        <v>41</v>
      </c>
      <c r="C150" s="1">
        <v>45444</v>
      </c>
      <c r="D150">
        <v>88</v>
      </c>
      <c r="E150">
        <v>18</v>
      </c>
      <c r="F150">
        <v>181.21</v>
      </c>
      <c r="G150">
        <v>4</v>
      </c>
      <c r="H150">
        <v>0.22222222222222221</v>
      </c>
      <c r="I150">
        <v>377.13</v>
      </c>
      <c r="J150">
        <v>2</v>
      </c>
      <c r="K150">
        <v>0.10009999999999999</v>
      </c>
    </row>
    <row r="151" spans="1:11">
      <c r="A151" t="s">
        <v>31</v>
      </c>
      <c r="B151" t="s">
        <v>41</v>
      </c>
      <c r="C151" s="1">
        <v>45444</v>
      </c>
      <c r="D151">
        <v>69</v>
      </c>
      <c r="E151">
        <v>16</v>
      </c>
      <c r="F151">
        <v>495.32</v>
      </c>
      <c r="G151">
        <v>0</v>
      </c>
      <c r="H151">
        <v>0</v>
      </c>
      <c r="I151">
        <v>1262.99</v>
      </c>
      <c r="J151">
        <v>1</v>
      </c>
      <c r="K151">
        <v>1E-3</v>
      </c>
    </row>
    <row r="152" spans="1:11">
      <c r="A152" t="s">
        <v>32</v>
      </c>
      <c r="B152" t="s">
        <v>41</v>
      </c>
      <c r="C152" s="1">
        <v>45444</v>
      </c>
      <c r="D152">
        <v>21</v>
      </c>
      <c r="E152">
        <v>16</v>
      </c>
      <c r="F152">
        <v>315.91000000000003</v>
      </c>
      <c r="G152">
        <v>1</v>
      </c>
      <c r="H152">
        <v>6.25E-2</v>
      </c>
      <c r="I152">
        <v>1455.83</v>
      </c>
      <c r="J152">
        <v>3</v>
      </c>
      <c r="K152">
        <v>5.1299999999999998E-2</v>
      </c>
    </row>
    <row r="153" spans="1:11">
      <c r="A153" t="s">
        <v>33</v>
      </c>
      <c r="B153" t="s">
        <v>41</v>
      </c>
      <c r="C153" s="1">
        <v>45444</v>
      </c>
      <c r="D153">
        <v>92</v>
      </c>
      <c r="E153">
        <v>5</v>
      </c>
      <c r="F153">
        <v>569.75</v>
      </c>
      <c r="G153">
        <v>2</v>
      </c>
      <c r="H153">
        <v>0.4</v>
      </c>
      <c r="I153">
        <v>3734.43</v>
      </c>
      <c r="J153">
        <v>2</v>
      </c>
      <c r="K153">
        <v>2.76E-2</v>
      </c>
    </row>
    <row r="154" spans="1:11">
      <c r="A154" t="s">
        <v>34</v>
      </c>
      <c r="B154" t="s">
        <v>41</v>
      </c>
      <c r="C154" s="1">
        <v>45444</v>
      </c>
      <c r="D154">
        <v>58</v>
      </c>
      <c r="E154">
        <v>7</v>
      </c>
      <c r="F154">
        <v>173.24</v>
      </c>
      <c r="G154">
        <v>7</v>
      </c>
      <c r="H154">
        <v>1</v>
      </c>
      <c r="I154">
        <v>525.73</v>
      </c>
      <c r="J154">
        <v>1</v>
      </c>
      <c r="K154">
        <v>8.2299999999999998E-2</v>
      </c>
    </row>
    <row r="155" spans="1:11">
      <c r="A155" t="s">
        <v>35</v>
      </c>
      <c r="B155" t="s">
        <v>41</v>
      </c>
      <c r="C155" s="1">
        <v>45444</v>
      </c>
      <c r="D155">
        <v>114</v>
      </c>
      <c r="E155">
        <v>13</v>
      </c>
      <c r="F155">
        <v>364.35</v>
      </c>
      <c r="G155">
        <v>0</v>
      </c>
      <c r="H155">
        <v>0</v>
      </c>
      <c r="I155">
        <v>2988.28</v>
      </c>
      <c r="J155">
        <v>3</v>
      </c>
      <c r="K155">
        <v>2.58E-2</v>
      </c>
    </row>
    <row r="156" spans="1:11">
      <c r="A156" t="s">
        <v>37</v>
      </c>
      <c r="B156" t="s">
        <v>41</v>
      </c>
      <c r="C156" s="1">
        <v>45444</v>
      </c>
      <c r="D156">
        <v>35</v>
      </c>
      <c r="E156">
        <v>12</v>
      </c>
      <c r="F156">
        <v>515.24</v>
      </c>
      <c r="G156">
        <v>5</v>
      </c>
      <c r="H156">
        <v>0.41666666666666669</v>
      </c>
      <c r="I156">
        <v>224.24</v>
      </c>
      <c r="J156">
        <v>2</v>
      </c>
      <c r="K156">
        <v>6.9800000000000001E-2</v>
      </c>
    </row>
    <row r="157" spans="1:11">
      <c r="A157" t="s">
        <v>38</v>
      </c>
      <c r="B157" t="s">
        <v>41</v>
      </c>
      <c r="C157" s="1">
        <v>45444</v>
      </c>
      <c r="D157">
        <v>35</v>
      </c>
      <c r="E157">
        <v>16</v>
      </c>
      <c r="F157">
        <v>351.71</v>
      </c>
      <c r="G157">
        <v>9</v>
      </c>
      <c r="H157">
        <v>0.5625</v>
      </c>
      <c r="I157">
        <v>3984.69</v>
      </c>
      <c r="J157">
        <v>1</v>
      </c>
      <c r="K157">
        <v>7.4099999999999999E-2</v>
      </c>
    </row>
    <row r="158" spans="1:11">
      <c r="A158" t="s">
        <v>11</v>
      </c>
      <c r="B158" t="s">
        <v>41</v>
      </c>
      <c r="C158" s="1">
        <v>45474</v>
      </c>
      <c r="D158">
        <v>71</v>
      </c>
      <c r="E158">
        <v>17</v>
      </c>
      <c r="F158">
        <v>360.1</v>
      </c>
      <c r="G158">
        <v>6</v>
      </c>
      <c r="H158">
        <v>0.35294117647058826</v>
      </c>
      <c r="I158">
        <v>4444.83</v>
      </c>
      <c r="J158">
        <v>3</v>
      </c>
      <c r="K158">
        <v>2.9500000000000002E-2</v>
      </c>
    </row>
    <row r="159" spans="1:11">
      <c r="A159" t="s">
        <v>13</v>
      </c>
      <c r="B159" t="s">
        <v>41</v>
      </c>
      <c r="C159" s="1">
        <v>45474</v>
      </c>
      <c r="D159">
        <v>62</v>
      </c>
      <c r="E159">
        <v>13</v>
      </c>
      <c r="F159">
        <v>364.64</v>
      </c>
      <c r="G159">
        <v>4</v>
      </c>
      <c r="H159">
        <v>0.30769230769230771</v>
      </c>
      <c r="I159">
        <v>3704.33</v>
      </c>
      <c r="J159">
        <v>2</v>
      </c>
      <c r="K159">
        <v>3.7499999999999999E-2</v>
      </c>
    </row>
    <row r="160" spans="1:11">
      <c r="A160" t="s">
        <v>14</v>
      </c>
      <c r="B160" t="s">
        <v>41</v>
      </c>
      <c r="C160" s="1">
        <v>45474</v>
      </c>
      <c r="D160">
        <v>53</v>
      </c>
      <c r="E160">
        <v>14</v>
      </c>
      <c r="F160">
        <v>367.56</v>
      </c>
      <c r="G160">
        <v>2</v>
      </c>
      <c r="H160">
        <v>0.14285714285714285</v>
      </c>
      <c r="I160">
        <v>3514.07</v>
      </c>
      <c r="J160">
        <v>1</v>
      </c>
      <c r="K160">
        <v>4.0099999999999997E-2</v>
      </c>
    </row>
    <row r="161" spans="1:11">
      <c r="A161" t="s">
        <v>15</v>
      </c>
      <c r="B161" t="s">
        <v>41</v>
      </c>
      <c r="C161" s="1">
        <v>45474</v>
      </c>
      <c r="D161">
        <v>18</v>
      </c>
      <c r="E161">
        <v>6</v>
      </c>
      <c r="F161">
        <v>76.27</v>
      </c>
      <c r="G161">
        <v>4</v>
      </c>
      <c r="H161">
        <v>0.66666666666666663</v>
      </c>
      <c r="I161">
        <v>1597.98</v>
      </c>
      <c r="J161">
        <v>1</v>
      </c>
      <c r="K161">
        <v>2.81E-2</v>
      </c>
    </row>
    <row r="162" spans="1:11">
      <c r="A162" t="s">
        <v>16</v>
      </c>
      <c r="B162" t="s">
        <v>41</v>
      </c>
      <c r="C162" s="1">
        <v>45474</v>
      </c>
      <c r="D162">
        <v>71</v>
      </c>
      <c r="E162">
        <v>12</v>
      </c>
      <c r="F162">
        <v>487.04</v>
      </c>
      <c r="G162">
        <v>5</v>
      </c>
      <c r="H162">
        <v>0.41666666666666669</v>
      </c>
      <c r="I162">
        <v>1004.9</v>
      </c>
      <c r="J162">
        <v>3</v>
      </c>
      <c r="K162">
        <v>4.2099999999999999E-2</v>
      </c>
    </row>
    <row r="163" spans="1:11">
      <c r="A163" t="s">
        <v>17</v>
      </c>
      <c r="B163" t="s">
        <v>41</v>
      </c>
      <c r="C163" s="1">
        <v>45474</v>
      </c>
      <c r="D163">
        <v>70</v>
      </c>
      <c r="E163">
        <v>5</v>
      </c>
      <c r="F163">
        <v>491.31</v>
      </c>
      <c r="G163">
        <v>3</v>
      </c>
      <c r="H163">
        <v>0.6</v>
      </c>
      <c r="I163">
        <v>3289.06</v>
      </c>
      <c r="J163">
        <v>2</v>
      </c>
      <c r="K163">
        <v>1.1299999999999999E-2</v>
      </c>
    </row>
    <row r="164" spans="1:11">
      <c r="A164" t="s">
        <v>18</v>
      </c>
      <c r="B164" t="s">
        <v>41</v>
      </c>
      <c r="C164" s="1">
        <v>45474</v>
      </c>
      <c r="D164">
        <v>77</v>
      </c>
      <c r="E164">
        <v>15</v>
      </c>
      <c r="F164">
        <v>282.58999999999997</v>
      </c>
      <c r="G164">
        <v>2</v>
      </c>
      <c r="H164">
        <v>0.13333333333333333</v>
      </c>
      <c r="I164">
        <v>2296.14</v>
      </c>
      <c r="J164">
        <v>1</v>
      </c>
      <c r="K164">
        <v>9.5799999999999996E-2</v>
      </c>
    </row>
    <row r="165" spans="1:11">
      <c r="A165" t="s">
        <v>19</v>
      </c>
      <c r="B165" t="s">
        <v>41</v>
      </c>
      <c r="C165" s="1">
        <v>45474</v>
      </c>
      <c r="D165">
        <v>50</v>
      </c>
      <c r="E165">
        <v>9</v>
      </c>
      <c r="F165">
        <v>246.06</v>
      </c>
      <c r="G165">
        <v>5</v>
      </c>
      <c r="H165">
        <v>0.55555555555555558</v>
      </c>
      <c r="I165">
        <v>4227.22</v>
      </c>
      <c r="J165">
        <v>3</v>
      </c>
      <c r="K165">
        <v>3.7200000000000004E-2</v>
      </c>
    </row>
    <row r="166" spans="1:11">
      <c r="A166" t="s">
        <v>20</v>
      </c>
      <c r="B166" t="s">
        <v>41</v>
      </c>
      <c r="C166" s="1">
        <v>45474</v>
      </c>
      <c r="D166">
        <v>31</v>
      </c>
      <c r="E166">
        <v>15</v>
      </c>
      <c r="F166">
        <v>347.38</v>
      </c>
      <c r="G166">
        <v>10</v>
      </c>
      <c r="H166">
        <v>0.66666666666666663</v>
      </c>
      <c r="I166">
        <v>1101.06</v>
      </c>
      <c r="J166">
        <v>2</v>
      </c>
      <c r="K166">
        <v>6.0100000000000001E-2</v>
      </c>
    </row>
    <row r="167" spans="1:11">
      <c r="A167" t="s">
        <v>21</v>
      </c>
      <c r="B167" t="s">
        <v>41</v>
      </c>
      <c r="C167" s="1">
        <v>45474</v>
      </c>
      <c r="D167">
        <v>77</v>
      </c>
      <c r="E167">
        <v>16</v>
      </c>
      <c r="F167">
        <v>335.59</v>
      </c>
      <c r="G167">
        <v>7</v>
      </c>
      <c r="H167">
        <v>0.4375</v>
      </c>
      <c r="I167">
        <v>1087.4100000000001</v>
      </c>
      <c r="J167">
        <v>1</v>
      </c>
      <c r="K167">
        <v>3.6900000000000002E-2</v>
      </c>
    </row>
    <row r="168" spans="1:11">
      <c r="A168" t="s">
        <v>22</v>
      </c>
      <c r="B168" t="s">
        <v>41</v>
      </c>
      <c r="C168" s="1">
        <v>45474</v>
      </c>
      <c r="D168">
        <v>17</v>
      </c>
      <c r="E168">
        <v>8</v>
      </c>
      <c r="F168">
        <v>208.21</v>
      </c>
      <c r="G168">
        <v>4</v>
      </c>
      <c r="H168">
        <v>0.5</v>
      </c>
      <c r="I168">
        <v>828.73</v>
      </c>
      <c r="J168">
        <v>3</v>
      </c>
      <c r="K168">
        <v>7.4200000000000002E-2</v>
      </c>
    </row>
    <row r="169" spans="1:11">
      <c r="A169" t="s">
        <v>23</v>
      </c>
      <c r="B169" t="s">
        <v>41</v>
      </c>
      <c r="C169" s="1">
        <v>45474</v>
      </c>
      <c r="D169">
        <v>32</v>
      </c>
      <c r="E169">
        <v>6</v>
      </c>
      <c r="F169">
        <v>553.58000000000004</v>
      </c>
      <c r="G169">
        <v>3</v>
      </c>
      <c r="H169">
        <v>0.5</v>
      </c>
      <c r="I169">
        <v>3939.56</v>
      </c>
      <c r="J169">
        <v>2</v>
      </c>
      <c r="K169">
        <v>3.78E-2</v>
      </c>
    </row>
    <row r="170" spans="1:11">
      <c r="A170" t="s">
        <v>24</v>
      </c>
      <c r="B170" t="s">
        <v>41</v>
      </c>
      <c r="C170" s="1">
        <v>45474</v>
      </c>
      <c r="D170">
        <v>72</v>
      </c>
      <c r="E170">
        <v>21</v>
      </c>
      <c r="F170">
        <v>604.57000000000005</v>
      </c>
      <c r="G170">
        <v>2</v>
      </c>
      <c r="H170">
        <v>9.5238095238095233E-2</v>
      </c>
      <c r="I170">
        <v>327.82</v>
      </c>
      <c r="J170">
        <v>1</v>
      </c>
      <c r="K170">
        <v>3.6699999999999997E-2</v>
      </c>
    </row>
    <row r="171" spans="1:11">
      <c r="A171" t="s">
        <v>25</v>
      </c>
      <c r="B171" t="s">
        <v>41</v>
      </c>
      <c r="C171" s="1">
        <v>45474</v>
      </c>
      <c r="D171">
        <v>34</v>
      </c>
      <c r="E171">
        <v>7</v>
      </c>
      <c r="F171">
        <v>199.39</v>
      </c>
      <c r="G171">
        <v>1</v>
      </c>
      <c r="H171">
        <v>0.14285714285714285</v>
      </c>
      <c r="I171">
        <v>3767.74</v>
      </c>
      <c r="J171">
        <v>3</v>
      </c>
      <c r="K171">
        <v>3.85E-2</v>
      </c>
    </row>
    <row r="172" spans="1:11">
      <c r="A172" t="s">
        <v>26</v>
      </c>
      <c r="B172" t="s">
        <v>41</v>
      </c>
      <c r="C172" s="1">
        <v>45474</v>
      </c>
      <c r="D172">
        <v>71</v>
      </c>
      <c r="E172">
        <v>9</v>
      </c>
      <c r="F172">
        <v>220.4</v>
      </c>
      <c r="G172">
        <v>2</v>
      </c>
      <c r="H172">
        <v>0.22222222222222221</v>
      </c>
      <c r="I172">
        <v>692.29</v>
      </c>
      <c r="J172">
        <v>2</v>
      </c>
      <c r="K172">
        <v>2.8999999999999998E-2</v>
      </c>
    </row>
    <row r="173" spans="1:11">
      <c r="A173" t="s">
        <v>27</v>
      </c>
      <c r="B173" t="s">
        <v>41</v>
      </c>
      <c r="C173" s="1">
        <v>45474</v>
      </c>
      <c r="D173">
        <v>83</v>
      </c>
      <c r="E173">
        <v>5</v>
      </c>
      <c r="F173">
        <v>166.85</v>
      </c>
      <c r="G173">
        <v>4</v>
      </c>
      <c r="H173">
        <v>0.8</v>
      </c>
      <c r="I173">
        <v>1364.24</v>
      </c>
      <c r="J173">
        <v>1</v>
      </c>
      <c r="K173">
        <v>8.3100000000000007E-2</v>
      </c>
    </row>
    <row r="174" spans="1:11">
      <c r="A174" t="s">
        <v>28</v>
      </c>
      <c r="B174" t="s">
        <v>41</v>
      </c>
      <c r="C174" s="1">
        <v>45474</v>
      </c>
      <c r="D174">
        <v>71</v>
      </c>
      <c r="E174">
        <v>7</v>
      </c>
      <c r="F174">
        <v>78.53</v>
      </c>
      <c r="G174">
        <v>4</v>
      </c>
      <c r="H174">
        <v>0.5714285714285714</v>
      </c>
      <c r="I174">
        <v>3652.64</v>
      </c>
      <c r="J174">
        <v>3</v>
      </c>
      <c r="K174">
        <v>8.6999999999999994E-2</v>
      </c>
    </row>
    <row r="175" spans="1:11">
      <c r="A175" t="s">
        <v>29</v>
      </c>
      <c r="B175" t="s">
        <v>41</v>
      </c>
      <c r="C175" s="1">
        <v>45474</v>
      </c>
      <c r="D175">
        <v>24</v>
      </c>
      <c r="E175">
        <v>13</v>
      </c>
      <c r="F175">
        <v>471.72</v>
      </c>
      <c r="G175">
        <v>7</v>
      </c>
      <c r="H175">
        <v>0.53846153846153844</v>
      </c>
      <c r="I175">
        <v>3588.89</v>
      </c>
      <c r="J175">
        <v>2</v>
      </c>
      <c r="K175">
        <v>3.5400000000000001E-2</v>
      </c>
    </row>
    <row r="176" spans="1:11">
      <c r="A176" t="s">
        <v>30</v>
      </c>
      <c r="B176" t="s">
        <v>41</v>
      </c>
      <c r="C176" s="1">
        <v>45474</v>
      </c>
      <c r="D176">
        <v>75</v>
      </c>
      <c r="E176">
        <v>17</v>
      </c>
      <c r="F176">
        <v>176.07</v>
      </c>
      <c r="G176">
        <v>5</v>
      </c>
      <c r="H176">
        <v>0.29411764705882354</v>
      </c>
      <c r="I176">
        <v>458.18</v>
      </c>
      <c r="J176">
        <v>1</v>
      </c>
      <c r="K176">
        <v>9.9399999999999988E-2</v>
      </c>
    </row>
    <row r="177" spans="1:11">
      <c r="A177" t="s">
        <v>31</v>
      </c>
      <c r="B177" t="s">
        <v>41</v>
      </c>
      <c r="C177" s="1">
        <v>45474</v>
      </c>
      <c r="D177">
        <v>76</v>
      </c>
      <c r="E177">
        <v>11</v>
      </c>
      <c r="F177">
        <v>486.93</v>
      </c>
      <c r="G177">
        <v>0</v>
      </c>
      <c r="H177">
        <v>0</v>
      </c>
      <c r="I177">
        <v>1219.29</v>
      </c>
      <c r="J177">
        <v>3</v>
      </c>
      <c r="K177">
        <v>1E-3</v>
      </c>
    </row>
    <row r="178" spans="1:11">
      <c r="A178" t="s">
        <v>32</v>
      </c>
      <c r="B178" t="s">
        <v>41</v>
      </c>
      <c r="C178" s="1">
        <v>45474</v>
      </c>
      <c r="D178">
        <v>20</v>
      </c>
      <c r="E178">
        <v>14</v>
      </c>
      <c r="F178">
        <v>283.66000000000003</v>
      </c>
      <c r="G178">
        <v>2</v>
      </c>
      <c r="H178">
        <v>0.14285714285714285</v>
      </c>
      <c r="I178">
        <v>1494.14</v>
      </c>
      <c r="J178">
        <v>2</v>
      </c>
      <c r="K178">
        <v>5.7800000000000004E-2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2E6F-49F7-46A5-9966-F5F372FB3022}">
  <dimension ref="A3:J21"/>
  <sheetViews>
    <sheetView zoomScaleNormal="100" workbookViewId="0">
      <selection activeCell="D21" sqref="D21:D22"/>
    </sheetView>
  </sheetViews>
  <sheetFormatPr defaultRowHeight="14"/>
  <cols>
    <col min="1" max="1" width="9.08203125" bestFit="1" customWidth="1"/>
    <col min="2" max="2" width="19.1640625" bestFit="1" customWidth="1"/>
    <col min="3" max="3" width="18.6640625" bestFit="1" customWidth="1"/>
    <col min="4" max="4" width="19.1640625" bestFit="1" customWidth="1"/>
    <col min="6" max="6" width="12.9140625" bestFit="1" customWidth="1"/>
    <col min="7" max="7" width="27.1640625" bestFit="1" customWidth="1"/>
  </cols>
  <sheetData>
    <row r="3" spans="1:10">
      <c r="A3" s="7" t="s">
        <v>47</v>
      </c>
    </row>
    <row r="4" spans="1:10">
      <c r="A4" s="8" t="s">
        <v>44</v>
      </c>
      <c r="B4" s="6">
        <v>18300</v>
      </c>
      <c r="C4" t="str">
        <f>A4&amp;":"&amp;GETPIVOTDATA("Sum of Total Calls",$A$3)</f>
        <v>Sum of Total Calls:18300</v>
      </c>
    </row>
    <row r="5" spans="1:10">
      <c r="A5" s="8" t="s">
        <v>45</v>
      </c>
      <c r="B5" s="6">
        <v>3619</v>
      </c>
      <c r="C5" t="str">
        <f>A5 &amp;":"&amp;GETPIVOTDATA("Sum of Calls Reached",$A$3)</f>
        <v>Sum of Calls Reached:3619</v>
      </c>
    </row>
    <row r="6" spans="1:10">
      <c r="A6" s="8" t="s">
        <v>46</v>
      </c>
      <c r="B6" s="6">
        <v>1309</v>
      </c>
      <c r="C6" t="str">
        <f>A6 &amp;":"&amp;GETPIVOTDATA("Sum of Deal Value ($)",$A$3)</f>
        <v>Sum of Deals Closed:706194.89</v>
      </c>
    </row>
    <row r="7" spans="1:10" ht="11" customHeight="1">
      <c r="A7" s="8" t="s">
        <v>48</v>
      </c>
      <c r="B7" s="6">
        <v>706194.88999999966</v>
      </c>
      <c r="C7" t="str">
        <f>A7 &amp;":"&amp;GETPIVOTDATA("Sum of Deals Closed",$A$3)</f>
        <v>Sum of Deal Value ($):1309</v>
      </c>
    </row>
    <row r="9" spans="1:10">
      <c r="A9" s="7" t="s">
        <v>67</v>
      </c>
      <c r="B9" t="s">
        <v>48</v>
      </c>
      <c r="F9" s="7" t="s">
        <v>49</v>
      </c>
      <c r="G9" t="s">
        <v>68</v>
      </c>
    </row>
    <row r="10" spans="1:10">
      <c r="A10" t="s">
        <v>55</v>
      </c>
      <c r="B10" s="6">
        <v>57863.17</v>
      </c>
      <c r="F10" s="8" t="s">
        <v>41</v>
      </c>
      <c r="G10" s="6">
        <v>60479.490000000005</v>
      </c>
      <c r="I10" t="str">
        <f>F10</f>
        <v>Barisal</v>
      </c>
      <c r="J10">
        <f>GETPIVOTDATA("Average Duration (sec)",$F$9,"Region","Barisal")</f>
        <v>60479.490000000005</v>
      </c>
    </row>
    <row r="11" spans="1:10">
      <c r="A11" t="s">
        <v>56</v>
      </c>
      <c r="B11" s="6">
        <v>59230.42</v>
      </c>
      <c r="F11" s="8" t="s">
        <v>40</v>
      </c>
      <c r="G11" s="6">
        <v>14721.570000000002</v>
      </c>
      <c r="I11" t="str">
        <f>F11</f>
        <v>Chittagong</v>
      </c>
      <c r="J11">
        <f>GETPIVOTDATA("Average Duration (sec)",$F$9,"Region","Chittagong")</f>
        <v>14721.570000000002</v>
      </c>
    </row>
    <row r="12" spans="1:10">
      <c r="A12" t="s">
        <v>57</v>
      </c>
      <c r="B12" s="6">
        <v>60127</v>
      </c>
      <c r="F12" s="8" t="s">
        <v>12</v>
      </c>
      <c r="G12" s="6">
        <v>7575.0599999999995</v>
      </c>
      <c r="I12" t="str">
        <f>F12</f>
        <v>Dhaka</v>
      </c>
      <c r="J12">
        <f>GETPIVOTDATA("Average Duration (sec)",$F$9,"Region","Dhaka")</f>
        <v>7575.0599999999995</v>
      </c>
    </row>
    <row r="13" spans="1:10">
      <c r="A13" t="s">
        <v>58</v>
      </c>
      <c r="B13" s="6">
        <v>58604.41</v>
      </c>
      <c r="F13" s="8" t="s">
        <v>36</v>
      </c>
      <c r="G13" s="6">
        <v>16140.710000000003</v>
      </c>
      <c r="I13" t="str">
        <f>F13</f>
        <v>Rangpur</v>
      </c>
      <c r="J13">
        <f>GETPIVOTDATA("Average Duration (sec)",$F$9,"Region","Rangpur")</f>
        <v>16140.710000000003</v>
      </c>
    </row>
    <row r="14" spans="1:10">
      <c r="A14" t="s">
        <v>59</v>
      </c>
      <c r="B14" s="6">
        <v>58564.01999999999</v>
      </c>
      <c r="F14" s="8" t="s">
        <v>39</v>
      </c>
      <c r="G14" s="6">
        <v>7879.47</v>
      </c>
      <c r="I14" t="str">
        <f>F14</f>
        <v>Sylhet</v>
      </c>
      <c r="J14">
        <f>GETPIVOTDATA("Average Duration (sec)",$F$9,"Region","Sylhet")</f>
        <v>7879.47</v>
      </c>
    </row>
    <row r="15" spans="1:10">
      <c r="A15" t="s">
        <v>60</v>
      </c>
      <c r="B15" s="6">
        <v>58260.729999999996</v>
      </c>
      <c r="F15" s="8" t="s">
        <v>50</v>
      </c>
      <c r="G15" s="6">
        <v>106796.30000000002</v>
      </c>
    </row>
    <row r="16" spans="1:10">
      <c r="A16" t="s">
        <v>61</v>
      </c>
      <c r="B16" s="6">
        <v>58845.83</v>
      </c>
    </row>
    <row r="17" spans="1:2">
      <c r="A17" t="s">
        <v>62</v>
      </c>
      <c r="B17" s="6">
        <v>58668.120000000017</v>
      </c>
    </row>
    <row r="18" spans="1:2">
      <c r="A18" t="s">
        <v>63</v>
      </c>
      <c r="B18" s="6">
        <v>59025.210000000006</v>
      </c>
    </row>
    <row r="19" spans="1:2">
      <c r="A19" t="s">
        <v>64</v>
      </c>
      <c r="B19" s="6">
        <v>58653.95</v>
      </c>
    </row>
    <row r="20" spans="1:2">
      <c r="A20" t="s">
        <v>65</v>
      </c>
      <c r="B20" s="6">
        <v>59136.610000000008</v>
      </c>
    </row>
    <row r="21" spans="1:2">
      <c r="A21" t="s">
        <v>66</v>
      </c>
      <c r="B21" s="6">
        <v>59215.419999999984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8D785-9F94-427C-BDF8-BC8D0298552A}">
  <dimension ref="A1:K313"/>
  <sheetViews>
    <sheetView topLeftCell="A2" workbookViewId="0">
      <selection activeCell="B2" sqref="B2"/>
    </sheetView>
  </sheetViews>
  <sheetFormatPr defaultRowHeight="14"/>
  <cols>
    <col min="1" max="12" width="14.9140625" customWidth="1"/>
  </cols>
  <sheetData>
    <row r="1" spans="1:11">
      <c r="A1" t="s">
        <v>0</v>
      </c>
      <c r="B1" t="s">
        <v>1</v>
      </c>
      <c r="C1" s="1" t="s">
        <v>2</v>
      </c>
      <c r="D1" t="s">
        <v>3</v>
      </c>
      <c r="E1" t="s">
        <v>4</v>
      </c>
      <c r="F1" t="s">
        <v>5</v>
      </c>
      <c r="G1" t="s">
        <v>6</v>
      </c>
      <c r="H1" s="2" t="s">
        <v>7</v>
      </c>
      <c r="I1" t="s">
        <v>8</v>
      </c>
      <c r="J1" t="s">
        <v>9</v>
      </c>
      <c r="K1" t="s">
        <v>10</v>
      </c>
    </row>
    <row r="2" spans="1:11">
      <c r="A2" t="s">
        <v>11</v>
      </c>
      <c r="B2" t="s">
        <v>12</v>
      </c>
      <c r="C2" s="1">
        <v>45292</v>
      </c>
      <c r="D2">
        <v>74</v>
      </c>
      <c r="E2">
        <v>12</v>
      </c>
      <c r="F2">
        <v>330.42</v>
      </c>
      <c r="G2">
        <v>7</v>
      </c>
      <c r="H2" s="2">
        <v>0.58333333333333337</v>
      </c>
      <c r="I2">
        <v>4276.3100000000004</v>
      </c>
      <c r="J2">
        <v>3</v>
      </c>
      <c r="K2" s="2">
        <v>2.9500000000000002E-2</v>
      </c>
    </row>
    <row r="3" spans="1:11">
      <c r="A3" t="s">
        <v>13</v>
      </c>
      <c r="B3" t="s">
        <v>12</v>
      </c>
      <c r="C3" s="1">
        <v>45292</v>
      </c>
      <c r="D3">
        <v>78</v>
      </c>
      <c r="E3">
        <v>12</v>
      </c>
      <c r="F3">
        <v>377.5</v>
      </c>
      <c r="G3">
        <v>4</v>
      </c>
      <c r="H3" s="2">
        <v>0.33333333333333331</v>
      </c>
      <c r="I3">
        <v>3880.98</v>
      </c>
      <c r="J3">
        <v>2</v>
      </c>
      <c r="K3" s="2">
        <v>4.3400000000000001E-2</v>
      </c>
    </row>
    <row r="4" spans="1:11">
      <c r="A4" t="s">
        <v>14</v>
      </c>
      <c r="B4" t="s">
        <v>12</v>
      </c>
      <c r="C4" s="1">
        <v>45292</v>
      </c>
      <c r="D4">
        <v>47</v>
      </c>
      <c r="E4">
        <v>14</v>
      </c>
      <c r="F4">
        <v>418.92</v>
      </c>
      <c r="G4">
        <v>2</v>
      </c>
      <c r="H4" s="2">
        <v>0.14285714285714285</v>
      </c>
      <c r="I4">
        <v>3716</v>
      </c>
      <c r="J4">
        <v>1</v>
      </c>
      <c r="K4" s="2">
        <v>4.3899999999999995E-2</v>
      </c>
    </row>
    <row r="5" spans="1:11">
      <c r="A5" t="s">
        <v>15</v>
      </c>
      <c r="B5" t="s">
        <v>12</v>
      </c>
      <c r="C5" s="1">
        <v>45292</v>
      </c>
      <c r="D5">
        <v>24</v>
      </c>
      <c r="E5">
        <v>6</v>
      </c>
      <c r="F5">
        <v>76.930000000000007</v>
      </c>
      <c r="G5">
        <v>4</v>
      </c>
      <c r="H5" s="2">
        <v>0.66666666666666663</v>
      </c>
      <c r="I5">
        <v>1552.35</v>
      </c>
      <c r="J5">
        <v>3</v>
      </c>
      <c r="K5" s="2">
        <v>3.0800000000000001E-2</v>
      </c>
    </row>
    <row r="6" spans="1:11">
      <c r="A6" t="s">
        <v>16</v>
      </c>
      <c r="B6" t="s">
        <v>12</v>
      </c>
      <c r="C6" s="1">
        <v>45292</v>
      </c>
      <c r="D6">
        <v>81</v>
      </c>
      <c r="E6">
        <v>16</v>
      </c>
      <c r="F6">
        <v>516.23</v>
      </c>
      <c r="G6">
        <v>5</v>
      </c>
      <c r="H6" s="2">
        <v>0.3125</v>
      </c>
      <c r="I6">
        <v>1030.68</v>
      </c>
      <c r="J6">
        <v>2</v>
      </c>
      <c r="K6" s="2">
        <v>4.1100000000000005E-2</v>
      </c>
    </row>
    <row r="7" spans="1:11">
      <c r="A7" t="s">
        <v>17</v>
      </c>
      <c r="B7" t="s">
        <v>12</v>
      </c>
      <c r="C7" s="1">
        <v>45292</v>
      </c>
      <c r="D7">
        <v>59</v>
      </c>
      <c r="E7">
        <v>5</v>
      </c>
      <c r="F7">
        <v>520.05999999999995</v>
      </c>
      <c r="G7">
        <v>3</v>
      </c>
      <c r="H7" s="2">
        <v>0.6</v>
      </c>
      <c r="I7">
        <v>3546.72</v>
      </c>
      <c r="J7">
        <v>1</v>
      </c>
      <c r="K7" s="2">
        <v>1.2699999999999999E-2</v>
      </c>
    </row>
    <row r="8" spans="1:11">
      <c r="A8" t="s">
        <v>18</v>
      </c>
      <c r="B8" t="s">
        <v>12</v>
      </c>
      <c r="C8" s="1">
        <v>45292</v>
      </c>
      <c r="D8">
        <v>68</v>
      </c>
      <c r="E8">
        <v>19</v>
      </c>
      <c r="F8">
        <v>290.39</v>
      </c>
      <c r="G8">
        <v>3</v>
      </c>
      <c r="H8" s="2">
        <v>0.15789473684210525</v>
      </c>
      <c r="I8">
        <v>2472.2399999999998</v>
      </c>
      <c r="J8">
        <v>3</v>
      </c>
      <c r="K8" s="2">
        <v>9.5399999999999985E-2</v>
      </c>
    </row>
    <row r="9" spans="1:11">
      <c r="A9" t="s">
        <v>19</v>
      </c>
      <c r="B9" t="s">
        <v>12</v>
      </c>
      <c r="C9" s="1">
        <v>45292</v>
      </c>
      <c r="D9">
        <v>60</v>
      </c>
      <c r="E9">
        <v>7</v>
      </c>
      <c r="F9">
        <v>251.7</v>
      </c>
      <c r="G9">
        <v>5</v>
      </c>
      <c r="H9" s="2">
        <v>0.7142857142857143</v>
      </c>
      <c r="I9">
        <v>3956.69</v>
      </c>
      <c r="J9">
        <v>2</v>
      </c>
      <c r="K9" s="2">
        <v>4.1100000000000005E-2</v>
      </c>
    </row>
    <row r="10" spans="1:11">
      <c r="A10" t="s">
        <v>20</v>
      </c>
      <c r="B10" t="s">
        <v>12</v>
      </c>
      <c r="C10" s="1">
        <v>45292</v>
      </c>
      <c r="D10">
        <v>34</v>
      </c>
      <c r="E10">
        <v>21</v>
      </c>
      <c r="F10">
        <v>362.62</v>
      </c>
      <c r="G10">
        <v>9</v>
      </c>
      <c r="H10" s="2">
        <v>0.42857142857142855</v>
      </c>
      <c r="I10">
        <v>1140.08</v>
      </c>
      <c r="J10">
        <v>1</v>
      </c>
      <c r="K10" s="2">
        <v>5.4600000000000003E-2</v>
      </c>
    </row>
    <row r="11" spans="1:11">
      <c r="A11" t="s">
        <v>21</v>
      </c>
      <c r="B11" t="s">
        <v>12</v>
      </c>
      <c r="C11" s="1">
        <v>45292</v>
      </c>
      <c r="D11">
        <v>59</v>
      </c>
      <c r="E11">
        <v>13</v>
      </c>
      <c r="F11">
        <v>307.49</v>
      </c>
      <c r="G11">
        <v>10</v>
      </c>
      <c r="H11" s="2">
        <v>0.76923076923076927</v>
      </c>
      <c r="I11">
        <v>979.09</v>
      </c>
      <c r="J11">
        <v>3</v>
      </c>
      <c r="K11" s="2">
        <v>3.27E-2</v>
      </c>
    </row>
    <row r="12" spans="1:11">
      <c r="A12" t="s">
        <v>22</v>
      </c>
      <c r="B12" t="s">
        <v>12</v>
      </c>
      <c r="C12" s="1">
        <v>45292</v>
      </c>
      <c r="D12">
        <v>18</v>
      </c>
      <c r="E12">
        <v>8</v>
      </c>
      <c r="F12">
        <v>206.81</v>
      </c>
      <c r="G12">
        <v>7</v>
      </c>
      <c r="H12" s="2">
        <v>0.875</v>
      </c>
      <c r="I12">
        <v>720.56</v>
      </c>
      <c r="J12">
        <v>2</v>
      </c>
      <c r="K12" s="2">
        <v>7.8899999999999998E-2</v>
      </c>
    </row>
    <row r="13" spans="1:11">
      <c r="A13" t="s">
        <v>23</v>
      </c>
      <c r="B13" t="s">
        <v>12</v>
      </c>
      <c r="C13" s="1">
        <v>45292</v>
      </c>
      <c r="D13">
        <v>36</v>
      </c>
      <c r="E13">
        <v>6</v>
      </c>
      <c r="F13">
        <v>547.6</v>
      </c>
      <c r="G13">
        <v>5</v>
      </c>
      <c r="H13" s="2">
        <v>0.83333333333333337</v>
      </c>
      <c r="I13">
        <v>3463.18</v>
      </c>
      <c r="J13">
        <v>1</v>
      </c>
      <c r="K13" s="2">
        <v>3.7599999999999995E-2</v>
      </c>
    </row>
    <row r="14" spans="1:11">
      <c r="A14" t="s">
        <v>24</v>
      </c>
      <c r="B14" t="s">
        <v>12</v>
      </c>
      <c r="C14" s="1">
        <v>45292</v>
      </c>
      <c r="D14">
        <v>67</v>
      </c>
      <c r="E14">
        <v>17</v>
      </c>
      <c r="F14">
        <v>552.54999999999995</v>
      </c>
      <c r="G14">
        <v>2</v>
      </c>
      <c r="H14" s="2">
        <v>0.11764705882352941</v>
      </c>
      <c r="I14">
        <v>330.12</v>
      </c>
      <c r="J14">
        <v>1</v>
      </c>
      <c r="K14" s="2">
        <v>3.7200000000000004E-2</v>
      </c>
    </row>
    <row r="15" spans="1:11">
      <c r="A15" t="s">
        <v>25</v>
      </c>
      <c r="B15" t="s">
        <v>12</v>
      </c>
      <c r="C15" s="1">
        <v>45292</v>
      </c>
      <c r="D15">
        <v>36</v>
      </c>
      <c r="E15">
        <v>9</v>
      </c>
      <c r="F15">
        <v>216.03</v>
      </c>
      <c r="G15">
        <v>2</v>
      </c>
      <c r="H15" s="2">
        <v>0.22222222222222221</v>
      </c>
      <c r="I15">
        <v>4072.07</v>
      </c>
      <c r="J15">
        <v>3</v>
      </c>
      <c r="K15" s="2">
        <v>4.1200000000000001E-2</v>
      </c>
    </row>
    <row r="16" spans="1:11">
      <c r="A16" t="s">
        <v>26</v>
      </c>
      <c r="B16" t="s">
        <v>12</v>
      </c>
      <c r="C16" s="1">
        <v>45292</v>
      </c>
      <c r="D16">
        <v>54</v>
      </c>
      <c r="E16">
        <v>10</v>
      </c>
      <c r="F16">
        <v>208.23</v>
      </c>
      <c r="G16">
        <v>3</v>
      </c>
      <c r="H16" s="2">
        <v>0.3</v>
      </c>
      <c r="I16">
        <v>645.83000000000004</v>
      </c>
      <c r="J16">
        <v>2</v>
      </c>
      <c r="K16" s="2">
        <v>2.7999999999999997E-2</v>
      </c>
    </row>
    <row r="17" spans="1:11">
      <c r="A17" t="s">
        <v>27</v>
      </c>
      <c r="B17" t="s">
        <v>12</v>
      </c>
      <c r="C17" s="1">
        <v>45292</v>
      </c>
      <c r="D17">
        <v>82</v>
      </c>
      <c r="E17">
        <v>4</v>
      </c>
      <c r="F17">
        <v>180.06</v>
      </c>
      <c r="G17">
        <v>4</v>
      </c>
      <c r="H17" s="2">
        <v>1</v>
      </c>
      <c r="I17">
        <v>1207.17</v>
      </c>
      <c r="J17">
        <v>1</v>
      </c>
      <c r="K17" s="2">
        <v>8.4199999999999997E-2</v>
      </c>
    </row>
    <row r="18" spans="1:11">
      <c r="A18" t="s">
        <v>28</v>
      </c>
      <c r="B18" t="s">
        <v>12</v>
      </c>
      <c r="C18" s="1">
        <v>45292</v>
      </c>
      <c r="D18">
        <v>81</v>
      </c>
      <c r="E18">
        <v>7</v>
      </c>
      <c r="F18">
        <v>82.43</v>
      </c>
      <c r="G18">
        <v>7</v>
      </c>
      <c r="H18" s="2">
        <v>1</v>
      </c>
      <c r="I18">
        <v>3463.96</v>
      </c>
      <c r="J18">
        <v>3</v>
      </c>
      <c r="K18" s="2">
        <v>8.4900000000000003E-2</v>
      </c>
    </row>
    <row r="19" spans="1:11">
      <c r="A19" t="s">
        <v>29</v>
      </c>
      <c r="B19" t="s">
        <v>12</v>
      </c>
      <c r="C19" s="1">
        <v>45292</v>
      </c>
      <c r="D19">
        <v>31</v>
      </c>
      <c r="E19">
        <v>17</v>
      </c>
      <c r="F19">
        <v>476.95</v>
      </c>
      <c r="G19">
        <v>7</v>
      </c>
      <c r="H19" s="2">
        <v>0.41176470588235292</v>
      </c>
      <c r="I19">
        <v>3945.43</v>
      </c>
      <c r="J19">
        <v>2</v>
      </c>
      <c r="K19" s="2">
        <v>3.6000000000000004E-2</v>
      </c>
    </row>
    <row r="20" spans="1:11">
      <c r="A20" t="s">
        <v>30</v>
      </c>
      <c r="B20" t="s">
        <v>12</v>
      </c>
      <c r="C20" s="1">
        <v>45292</v>
      </c>
      <c r="D20">
        <v>92</v>
      </c>
      <c r="E20">
        <v>20</v>
      </c>
      <c r="F20">
        <v>161.41999999999999</v>
      </c>
      <c r="G20">
        <v>4</v>
      </c>
      <c r="H20" s="2">
        <v>0.2</v>
      </c>
      <c r="I20">
        <v>425.41</v>
      </c>
      <c r="J20">
        <v>1</v>
      </c>
      <c r="K20" s="2">
        <v>0.1045</v>
      </c>
    </row>
    <row r="21" spans="1:11">
      <c r="A21" t="s">
        <v>31</v>
      </c>
      <c r="B21" t="s">
        <v>12</v>
      </c>
      <c r="C21" s="1">
        <v>45292</v>
      </c>
      <c r="D21">
        <v>73</v>
      </c>
      <c r="E21">
        <v>12</v>
      </c>
      <c r="F21">
        <v>507.45</v>
      </c>
      <c r="G21">
        <v>0</v>
      </c>
      <c r="H21" s="2">
        <v>0</v>
      </c>
      <c r="I21">
        <v>1123.8399999999999</v>
      </c>
      <c r="J21">
        <v>3</v>
      </c>
      <c r="K21" s="2">
        <v>8.9999999999999998E-4</v>
      </c>
    </row>
    <row r="22" spans="1:11">
      <c r="A22" t="s">
        <v>32</v>
      </c>
      <c r="B22" t="s">
        <v>12</v>
      </c>
      <c r="C22" s="1">
        <v>45292</v>
      </c>
      <c r="D22">
        <v>25</v>
      </c>
      <c r="E22">
        <v>14</v>
      </c>
      <c r="F22">
        <v>279.95</v>
      </c>
      <c r="G22">
        <v>2</v>
      </c>
      <c r="H22" s="2">
        <v>0.14285714285714285</v>
      </c>
      <c r="I22">
        <v>1432.23</v>
      </c>
      <c r="J22">
        <v>2</v>
      </c>
      <c r="K22" s="2">
        <v>5.1699999999999996E-2</v>
      </c>
    </row>
    <row r="23" spans="1:11">
      <c r="A23" t="s">
        <v>33</v>
      </c>
      <c r="B23" t="s">
        <v>12</v>
      </c>
      <c r="C23" s="1">
        <v>45292</v>
      </c>
      <c r="D23">
        <v>96</v>
      </c>
      <c r="E23">
        <v>6</v>
      </c>
      <c r="F23">
        <v>532.83000000000004</v>
      </c>
      <c r="G23">
        <v>1</v>
      </c>
      <c r="H23" s="2">
        <v>0.16666666666666666</v>
      </c>
      <c r="I23">
        <v>3173.13</v>
      </c>
      <c r="J23">
        <v>1</v>
      </c>
      <c r="K23" s="2">
        <v>2.8300000000000002E-2</v>
      </c>
    </row>
    <row r="24" spans="1:11">
      <c r="A24" t="s">
        <v>34</v>
      </c>
      <c r="B24" t="s">
        <v>12</v>
      </c>
      <c r="C24" s="1">
        <v>45292</v>
      </c>
      <c r="D24">
        <v>63</v>
      </c>
      <c r="E24">
        <v>8</v>
      </c>
      <c r="F24">
        <v>170.49</v>
      </c>
      <c r="G24">
        <v>7</v>
      </c>
      <c r="H24" s="2">
        <v>0.875</v>
      </c>
      <c r="I24">
        <v>526.12</v>
      </c>
      <c r="J24">
        <v>3</v>
      </c>
      <c r="K24" s="2">
        <v>8.3499999999999991E-2</v>
      </c>
    </row>
    <row r="25" spans="1:11">
      <c r="A25" t="s">
        <v>35</v>
      </c>
      <c r="B25" t="s">
        <v>36</v>
      </c>
      <c r="C25" s="1">
        <v>45292</v>
      </c>
      <c r="D25">
        <v>92</v>
      </c>
      <c r="E25">
        <v>13</v>
      </c>
      <c r="F25">
        <v>422.39</v>
      </c>
      <c r="G25">
        <v>1</v>
      </c>
      <c r="H25" s="2">
        <v>7.6923076923076927E-2</v>
      </c>
      <c r="I25">
        <v>2695.84</v>
      </c>
      <c r="J25">
        <v>2</v>
      </c>
      <c r="K25" s="2">
        <v>2.46E-2</v>
      </c>
    </row>
    <row r="26" spans="1:11">
      <c r="A26" t="s">
        <v>37</v>
      </c>
      <c r="B26" t="s">
        <v>36</v>
      </c>
      <c r="C26" s="1">
        <v>45292</v>
      </c>
      <c r="D26">
        <v>38</v>
      </c>
      <c r="E26">
        <v>10</v>
      </c>
      <c r="F26">
        <v>514.25</v>
      </c>
      <c r="G26">
        <v>4</v>
      </c>
      <c r="H26" s="2">
        <v>0.4</v>
      </c>
      <c r="I26">
        <v>243.62</v>
      </c>
      <c r="J26">
        <v>1</v>
      </c>
      <c r="K26" s="2">
        <v>6.4399999999999999E-2</v>
      </c>
    </row>
    <row r="27" spans="1:11">
      <c r="A27" t="s">
        <v>38</v>
      </c>
      <c r="B27" t="s">
        <v>36</v>
      </c>
      <c r="C27" s="1">
        <v>45292</v>
      </c>
      <c r="D27">
        <v>43</v>
      </c>
      <c r="E27">
        <v>15</v>
      </c>
      <c r="F27">
        <v>363.48</v>
      </c>
      <c r="G27">
        <v>7</v>
      </c>
      <c r="H27" s="2">
        <v>0.46666666666666667</v>
      </c>
      <c r="I27">
        <v>3843.52</v>
      </c>
      <c r="J27">
        <v>3</v>
      </c>
      <c r="K27" s="2">
        <v>8.3400000000000002E-2</v>
      </c>
    </row>
    <row r="28" spans="1:11">
      <c r="A28" t="s">
        <v>11</v>
      </c>
      <c r="B28" t="s">
        <v>36</v>
      </c>
      <c r="C28" s="1">
        <v>45323</v>
      </c>
      <c r="D28">
        <v>62</v>
      </c>
      <c r="E28">
        <v>15</v>
      </c>
      <c r="F28">
        <v>361.38</v>
      </c>
      <c r="G28">
        <v>6</v>
      </c>
      <c r="H28" s="2">
        <v>0.4</v>
      </c>
      <c r="I28">
        <v>4195.1400000000003</v>
      </c>
      <c r="J28">
        <v>2</v>
      </c>
      <c r="K28" s="2">
        <v>2.75E-2</v>
      </c>
    </row>
    <row r="29" spans="1:11">
      <c r="A29" t="s">
        <v>13</v>
      </c>
      <c r="B29" t="s">
        <v>36</v>
      </c>
      <c r="C29" s="1">
        <v>45323</v>
      </c>
      <c r="D29">
        <v>81</v>
      </c>
      <c r="E29">
        <v>14</v>
      </c>
      <c r="F29">
        <v>362.96</v>
      </c>
      <c r="G29">
        <v>5</v>
      </c>
      <c r="H29" s="2">
        <v>0.35714285714285715</v>
      </c>
      <c r="I29">
        <v>3620.19</v>
      </c>
      <c r="J29">
        <v>1</v>
      </c>
      <c r="K29" s="2">
        <v>4.0800000000000003E-2</v>
      </c>
    </row>
    <row r="30" spans="1:11">
      <c r="A30" t="s">
        <v>14</v>
      </c>
      <c r="B30" t="s">
        <v>36</v>
      </c>
      <c r="C30" s="1">
        <v>45323</v>
      </c>
      <c r="D30">
        <v>52</v>
      </c>
      <c r="E30">
        <v>14</v>
      </c>
      <c r="F30">
        <v>382.59</v>
      </c>
      <c r="G30">
        <v>3</v>
      </c>
      <c r="H30" s="2">
        <v>0.21428571428571427</v>
      </c>
      <c r="I30">
        <v>3394.39</v>
      </c>
      <c r="J30">
        <v>3</v>
      </c>
      <c r="K30" s="2">
        <v>4.5599999999999995E-2</v>
      </c>
    </row>
    <row r="31" spans="1:11">
      <c r="A31" t="s">
        <v>15</v>
      </c>
      <c r="B31" t="s">
        <v>36</v>
      </c>
      <c r="C31" s="1">
        <v>45323</v>
      </c>
      <c r="D31">
        <v>22</v>
      </c>
      <c r="E31">
        <v>7</v>
      </c>
      <c r="F31">
        <v>79.459999999999994</v>
      </c>
      <c r="G31">
        <v>3</v>
      </c>
      <c r="H31" s="2">
        <v>0.42857142857142855</v>
      </c>
      <c r="I31">
        <v>1638.74</v>
      </c>
      <c r="J31">
        <v>2</v>
      </c>
      <c r="K31" s="2">
        <v>3.04E-2</v>
      </c>
    </row>
    <row r="32" spans="1:11">
      <c r="A32" t="s">
        <v>16</v>
      </c>
      <c r="B32" t="s">
        <v>36</v>
      </c>
      <c r="C32" s="1">
        <v>45323</v>
      </c>
      <c r="D32">
        <v>93</v>
      </c>
      <c r="E32">
        <v>11</v>
      </c>
      <c r="F32">
        <v>446.3</v>
      </c>
      <c r="G32">
        <v>5</v>
      </c>
      <c r="H32" s="2">
        <v>0.45454545454545453</v>
      </c>
      <c r="I32">
        <v>1057.1400000000001</v>
      </c>
      <c r="J32">
        <v>1</v>
      </c>
      <c r="K32" s="2">
        <v>3.6900000000000002E-2</v>
      </c>
    </row>
    <row r="33" spans="1:11">
      <c r="A33" t="s">
        <v>17</v>
      </c>
      <c r="B33" t="s">
        <v>36</v>
      </c>
      <c r="C33" s="1">
        <v>45323</v>
      </c>
      <c r="D33">
        <v>65</v>
      </c>
      <c r="E33">
        <v>7</v>
      </c>
      <c r="F33">
        <v>461.67</v>
      </c>
      <c r="G33">
        <v>2</v>
      </c>
      <c r="H33" s="2">
        <v>0.2857142857142857</v>
      </c>
      <c r="I33">
        <v>3486.23</v>
      </c>
      <c r="J33">
        <v>3</v>
      </c>
      <c r="K33" s="2">
        <v>1.1200000000000002E-2</v>
      </c>
    </row>
    <row r="34" spans="1:11">
      <c r="A34" t="s">
        <v>18</v>
      </c>
      <c r="B34" t="s">
        <v>36</v>
      </c>
      <c r="C34" s="1">
        <v>45323</v>
      </c>
      <c r="D34">
        <v>90</v>
      </c>
      <c r="E34">
        <v>20</v>
      </c>
      <c r="F34">
        <v>328.63</v>
      </c>
      <c r="G34">
        <v>3</v>
      </c>
      <c r="H34" s="2">
        <v>0.15</v>
      </c>
      <c r="I34">
        <v>2662.44</v>
      </c>
      <c r="J34">
        <v>2</v>
      </c>
      <c r="K34" s="2">
        <v>0.10640000000000001</v>
      </c>
    </row>
    <row r="35" spans="1:11">
      <c r="A35" t="s">
        <v>19</v>
      </c>
      <c r="B35" t="s">
        <v>36</v>
      </c>
      <c r="C35" s="1">
        <v>45323</v>
      </c>
      <c r="D35">
        <v>48</v>
      </c>
      <c r="E35">
        <v>7</v>
      </c>
      <c r="F35">
        <v>247.66</v>
      </c>
      <c r="G35">
        <v>6</v>
      </c>
      <c r="H35" s="2">
        <v>0.8571428571428571</v>
      </c>
      <c r="I35">
        <v>4335.84</v>
      </c>
      <c r="J35">
        <v>1</v>
      </c>
      <c r="K35" s="2">
        <v>3.9900000000000005E-2</v>
      </c>
    </row>
    <row r="36" spans="1:11">
      <c r="A36" t="s">
        <v>20</v>
      </c>
      <c r="B36" t="s">
        <v>36</v>
      </c>
      <c r="C36" s="1">
        <v>45323</v>
      </c>
      <c r="D36">
        <v>37</v>
      </c>
      <c r="E36">
        <v>17</v>
      </c>
      <c r="F36">
        <v>378.61</v>
      </c>
      <c r="G36">
        <v>10</v>
      </c>
      <c r="H36" s="2">
        <v>0.58823529411764708</v>
      </c>
      <c r="I36">
        <v>1295.07</v>
      </c>
      <c r="J36">
        <v>3</v>
      </c>
      <c r="K36" s="2">
        <v>5.6299999999999996E-2</v>
      </c>
    </row>
    <row r="37" spans="1:11">
      <c r="A37" t="s">
        <v>21</v>
      </c>
      <c r="B37" t="s">
        <v>36</v>
      </c>
      <c r="C37" s="1">
        <v>45323</v>
      </c>
      <c r="D37">
        <v>68</v>
      </c>
      <c r="E37">
        <v>16</v>
      </c>
      <c r="F37">
        <v>299.58999999999997</v>
      </c>
      <c r="G37">
        <v>9</v>
      </c>
      <c r="H37" s="2">
        <v>0.5625</v>
      </c>
      <c r="I37">
        <v>979.47</v>
      </c>
      <c r="J37">
        <v>2</v>
      </c>
      <c r="K37" s="2">
        <v>3.6900000000000002E-2</v>
      </c>
    </row>
    <row r="38" spans="1:11">
      <c r="A38" t="s">
        <v>22</v>
      </c>
      <c r="B38" t="s">
        <v>36</v>
      </c>
      <c r="C38" s="1">
        <v>45323</v>
      </c>
      <c r="D38">
        <v>20</v>
      </c>
      <c r="E38">
        <v>9</v>
      </c>
      <c r="F38">
        <v>202.4</v>
      </c>
      <c r="G38">
        <v>7</v>
      </c>
      <c r="H38" s="2">
        <v>0.77777777777777779</v>
      </c>
      <c r="I38">
        <v>732.99</v>
      </c>
      <c r="J38">
        <v>1</v>
      </c>
      <c r="K38" s="2">
        <v>7.9000000000000001E-2</v>
      </c>
    </row>
    <row r="39" spans="1:11">
      <c r="A39" t="s">
        <v>23</v>
      </c>
      <c r="B39" t="s">
        <v>36</v>
      </c>
      <c r="C39" s="1">
        <v>45323</v>
      </c>
      <c r="D39">
        <v>35</v>
      </c>
      <c r="E39">
        <v>6</v>
      </c>
      <c r="F39">
        <v>568.38</v>
      </c>
      <c r="G39">
        <v>6</v>
      </c>
      <c r="H39" s="2">
        <v>1</v>
      </c>
      <c r="I39">
        <v>3949.69</v>
      </c>
      <c r="J39">
        <v>1</v>
      </c>
      <c r="K39" s="2">
        <v>3.7499999999999999E-2</v>
      </c>
    </row>
    <row r="40" spans="1:11">
      <c r="A40" t="s">
        <v>24</v>
      </c>
      <c r="B40" t="s">
        <v>36</v>
      </c>
      <c r="C40" s="1">
        <v>45323</v>
      </c>
      <c r="D40">
        <v>68</v>
      </c>
      <c r="E40">
        <v>21</v>
      </c>
      <c r="F40">
        <v>553.08000000000004</v>
      </c>
      <c r="G40">
        <v>3</v>
      </c>
      <c r="H40" s="2">
        <v>0.14285714285714285</v>
      </c>
      <c r="I40">
        <v>360.7</v>
      </c>
      <c r="J40">
        <v>3</v>
      </c>
      <c r="K40" s="2">
        <v>3.3399999999999999E-2</v>
      </c>
    </row>
    <row r="41" spans="1:11">
      <c r="A41" t="s">
        <v>25</v>
      </c>
      <c r="B41" t="s">
        <v>36</v>
      </c>
      <c r="C41" s="1">
        <v>45323</v>
      </c>
      <c r="D41">
        <v>30</v>
      </c>
      <c r="E41">
        <v>8</v>
      </c>
      <c r="F41">
        <v>223.22</v>
      </c>
      <c r="G41">
        <v>2</v>
      </c>
      <c r="H41" s="2">
        <v>0.25</v>
      </c>
      <c r="I41">
        <v>3595.12</v>
      </c>
      <c r="J41">
        <v>2</v>
      </c>
      <c r="K41" s="2">
        <v>4.3400000000000001E-2</v>
      </c>
    </row>
    <row r="42" spans="1:11">
      <c r="A42" t="s">
        <v>26</v>
      </c>
      <c r="B42" t="s">
        <v>36</v>
      </c>
      <c r="C42" s="1">
        <v>45323</v>
      </c>
      <c r="D42">
        <v>69</v>
      </c>
      <c r="E42">
        <v>8</v>
      </c>
      <c r="F42">
        <v>199.93</v>
      </c>
      <c r="G42">
        <v>2</v>
      </c>
      <c r="H42" s="2">
        <v>0.25</v>
      </c>
      <c r="I42">
        <v>610.66</v>
      </c>
      <c r="J42">
        <v>1</v>
      </c>
      <c r="K42" s="2">
        <v>2.8199999999999999E-2</v>
      </c>
    </row>
    <row r="43" spans="1:11">
      <c r="A43" t="s">
        <v>27</v>
      </c>
      <c r="B43" t="s">
        <v>36</v>
      </c>
      <c r="C43" s="1">
        <v>45323</v>
      </c>
      <c r="D43">
        <v>92</v>
      </c>
      <c r="E43">
        <v>6</v>
      </c>
      <c r="F43">
        <v>180.46</v>
      </c>
      <c r="G43">
        <v>5</v>
      </c>
      <c r="H43" s="2">
        <v>0.83333333333333337</v>
      </c>
      <c r="I43">
        <v>1173.27</v>
      </c>
      <c r="J43">
        <v>3</v>
      </c>
      <c r="K43" s="2">
        <v>7.5300000000000006E-2</v>
      </c>
    </row>
    <row r="44" spans="1:11">
      <c r="A44" t="s">
        <v>28</v>
      </c>
      <c r="B44" t="s">
        <v>36</v>
      </c>
      <c r="C44" s="1">
        <v>45323</v>
      </c>
      <c r="D44">
        <v>92</v>
      </c>
      <c r="E44">
        <v>7</v>
      </c>
      <c r="F44">
        <v>80.12</v>
      </c>
      <c r="G44">
        <v>6</v>
      </c>
      <c r="H44" s="2">
        <v>0.8571428571428571</v>
      </c>
      <c r="I44">
        <v>3794.02</v>
      </c>
      <c r="J44">
        <v>2</v>
      </c>
      <c r="K44" s="2">
        <v>9.5000000000000001E-2</v>
      </c>
    </row>
    <row r="45" spans="1:11">
      <c r="A45" t="s">
        <v>29</v>
      </c>
      <c r="B45" t="s">
        <v>36</v>
      </c>
      <c r="C45" s="1">
        <v>45323</v>
      </c>
      <c r="D45">
        <v>21</v>
      </c>
      <c r="E45">
        <v>14</v>
      </c>
      <c r="F45">
        <v>563.79</v>
      </c>
      <c r="G45">
        <v>8</v>
      </c>
      <c r="H45" s="2">
        <v>0.5714285714285714</v>
      </c>
      <c r="I45">
        <v>3616.21</v>
      </c>
      <c r="J45">
        <v>1</v>
      </c>
      <c r="K45" s="2">
        <v>3.61E-2</v>
      </c>
    </row>
    <row r="46" spans="1:11">
      <c r="A46" t="s">
        <v>30</v>
      </c>
      <c r="B46" t="s">
        <v>36</v>
      </c>
      <c r="C46" s="1">
        <v>45323</v>
      </c>
      <c r="D46">
        <v>83</v>
      </c>
      <c r="E46">
        <v>20</v>
      </c>
      <c r="F46">
        <v>193.39</v>
      </c>
      <c r="G46">
        <v>5</v>
      </c>
      <c r="H46" s="2">
        <v>0.25</v>
      </c>
      <c r="I46">
        <v>402.53</v>
      </c>
      <c r="J46">
        <v>3</v>
      </c>
      <c r="K46" s="2">
        <v>0.1013</v>
      </c>
    </row>
    <row r="47" spans="1:11">
      <c r="A47" t="s">
        <v>31</v>
      </c>
      <c r="B47" t="s">
        <v>36</v>
      </c>
      <c r="C47" s="1">
        <v>45323</v>
      </c>
      <c r="D47">
        <v>57</v>
      </c>
      <c r="E47">
        <v>11</v>
      </c>
      <c r="F47">
        <v>454.77</v>
      </c>
      <c r="G47">
        <v>1</v>
      </c>
      <c r="H47" s="2">
        <v>9.0909090909090912E-2</v>
      </c>
      <c r="I47">
        <v>1152.4100000000001</v>
      </c>
      <c r="J47">
        <v>2</v>
      </c>
      <c r="K47" s="2">
        <v>1E-3</v>
      </c>
    </row>
    <row r="48" spans="1:11">
      <c r="A48" t="s">
        <v>32</v>
      </c>
      <c r="B48" t="s">
        <v>36</v>
      </c>
      <c r="C48" s="1">
        <v>45323</v>
      </c>
      <c r="D48">
        <v>22</v>
      </c>
      <c r="E48">
        <v>17</v>
      </c>
      <c r="F48">
        <v>291.97000000000003</v>
      </c>
      <c r="G48">
        <v>1</v>
      </c>
      <c r="H48" s="2">
        <v>5.8823529411764705E-2</v>
      </c>
      <c r="I48">
        <v>1703.6</v>
      </c>
      <c r="J48">
        <v>1</v>
      </c>
      <c r="K48" s="2">
        <v>5.21E-2</v>
      </c>
    </row>
    <row r="49" spans="1:11">
      <c r="A49" t="s">
        <v>33</v>
      </c>
      <c r="B49" t="s">
        <v>36</v>
      </c>
      <c r="C49" s="1">
        <v>45323</v>
      </c>
      <c r="D49">
        <v>78</v>
      </c>
      <c r="E49">
        <v>5</v>
      </c>
      <c r="F49">
        <v>553.86</v>
      </c>
      <c r="G49">
        <v>1</v>
      </c>
      <c r="H49" s="2">
        <v>0.2</v>
      </c>
      <c r="I49">
        <v>3503.57</v>
      </c>
      <c r="J49">
        <v>3</v>
      </c>
      <c r="K49" s="2">
        <v>3.1300000000000001E-2</v>
      </c>
    </row>
    <row r="50" spans="1:11">
      <c r="A50" t="s">
        <v>34</v>
      </c>
      <c r="B50" t="s">
        <v>36</v>
      </c>
      <c r="C50" s="1">
        <v>45323</v>
      </c>
      <c r="D50">
        <v>68</v>
      </c>
      <c r="E50">
        <v>7</v>
      </c>
      <c r="F50">
        <v>171.76</v>
      </c>
      <c r="G50">
        <v>7</v>
      </c>
      <c r="H50" s="2">
        <v>1</v>
      </c>
      <c r="I50">
        <v>548.36</v>
      </c>
      <c r="J50">
        <v>2</v>
      </c>
      <c r="K50" s="2">
        <v>8.2500000000000004E-2</v>
      </c>
    </row>
    <row r="51" spans="1:11">
      <c r="A51" t="s">
        <v>35</v>
      </c>
      <c r="B51" t="s">
        <v>36</v>
      </c>
      <c r="C51" s="1">
        <v>45323</v>
      </c>
      <c r="D51">
        <v>83</v>
      </c>
      <c r="E51">
        <v>16</v>
      </c>
      <c r="F51">
        <v>382.21</v>
      </c>
      <c r="G51">
        <v>1</v>
      </c>
      <c r="H51" s="2">
        <v>6.25E-2</v>
      </c>
      <c r="I51">
        <v>3017.43</v>
      </c>
      <c r="J51">
        <v>3</v>
      </c>
      <c r="K51" s="2">
        <v>2.4199999999999999E-2</v>
      </c>
    </row>
    <row r="52" spans="1:11">
      <c r="A52" t="s">
        <v>37</v>
      </c>
      <c r="B52" t="s">
        <v>36</v>
      </c>
      <c r="C52" s="1">
        <v>45323</v>
      </c>
      <c r="D52">
        <v>31</v>
      </c>
      <c r="E52">
        <v>11</v>
      </c>
      <c r="F52">
        <v>562.73</v>
      </c>
      <c r="G52">
        <v>4</v>
      </c>
      <c r="H52" s="2">
        <v>0.36363636363636365</v>
      </c>
      <c r="I52">
        <v>221.94</v>
      </c>
      <c r="J52">
        <v>2</v>
      </c>
      <c r="K52" s="2">
        <v>6.7400000000000002E-2</v>
      </c>
    </row>
    <row r="53" spans="1:11">
      <c r="A53" t="s">
        <v>38</v>
      </c>
      <c r="B53" t="s">
        <v>36</v>
      </c>
      <c r="C53" s="1">
        <v>45323</v>
      </c>
      <c r="D53">
        <v>34</v>
      </c>
      <c r="E53">
        <v>17</v>
      </c>
      <c r="F53">
        <v>380.37</v>
      </c>
      <c r="G53">
        <v>7</v>
      </c>
      <c r="H53" s="2">
        <v>0.41176470588235292</v>
      </c>
      <c r="I53">
        <v>4183.2700000000004</v>
      </c>
      <c r="J53">
        <v>1</v>
      </c>
      <c r="K53" s="2">
        <v>8.8699999999999987E-2</v>
      </c>
    </row>
    <row r="54" spans="1:11">
      <c r="A54" t="s">
        <v>11</v>
      </c>
      <c r="B54" t="s">
        <v>36</v>
      </c>
      <c r="C54" s="1">
        <v>45352</v>
      </c>
      <c r="D54">
        <v>55</v>
      </c>
      <c r="E54">
        <v>17</v>
      </c>
      <c r="F54">
        <v>315.62</v>
      </c>
      <c r="G54">
        <v>5</v>
      </c>
      <c r="H54" s="2">
        <v>0.29411764705882354</v>
      </c>
      <c r="I54">
        <v>3890.73</v>
      </c>
      <c r="J54">
        <v>3</v>
      </c>
      <c r="K54" s="2">
        <v>2.8799999999999999E-2</v>
      </c>
    </row>
    <row r="55" spans="1:11">
      <c r="A55" t="s">
        <v>13</v>
      </c>
      <c r="B55" t="s">
        <v>36</v>
      </c>
      <c r="C55" s="1">
        <v>45352</v>
      </c>
      <c r="D55">
        <v>91</v>
      </c>
      <c r="E55">
        <v>10</v>
      </c>
      <c r="F55">
        <v>361.58</v>
      </c>
      <c r="G55">
        <v>4</v>
      </c>
      <c r="H55" s="2">
        <v>0.4</v>
      </c>
      <c r="I55">
        <v>3674.37</v>
      </c>
      <c r="J55">
        <v>2</v>
      </c>
      <c r="K55" s="2">
        <v>4.0800000000000003E-2</v>
      </c>
    </row>
    <row r="56" spans="1:11">
      <c r="A56" t="s">
        <v>14</v>
      </c>
      <c r="B56" t="s">
        <v>36</v>
      </c>
      <c r="C56" s="1">
        <v>45352</v>
      </c>
      <c r="D56">
        <v>59</v>
      </c>
      <c r="E56">
        <v>13</v>
      </c>
      <c r="F56">
        <v>402.9</v>
      </c>
      <c r="G56">
        <v>2</v>
      </c>
      <c r="H56" s="2">
        <v>0.15384615384615385</v>
      </c>
      <c r="I56">
        <v>3357.27</v>
      </c>
      <c r="J56">
        <v>1</v>
      </c>
      <c r="K56" s="2">
        <v>4.2599999999999999E-2</v>
      </c>
    </row>
    <row r="57" spans="1:11">
      <c r="A57" t="s">
        <v>15</v>
      </c>
      <c r="B57" t="s">
        <v>36</v>
      </c>
      <c r="C57" s="1">
        <v>45352</v>
      </c>
      <c r="D57">
        <v>19</v>
      </c>
      <c r="E57">
        <v>6</v>
      </c>
      <c r="F57">
        <v>82.65</v>
      </c>
      <c r="G57">
        <v>3</v>
      </c>
      <c r="H57" s="2">
        <v>0.5</v>
      </c>
      <c r="I57">
        <v>1469.62</v>
      </c>
      <c r="J57">
        <v>3</v>
      </c>
      <c r="K57" s="2">
        <v>3.0699999999999998E-2</v>
      </c>
    </row>
    <row r="58" spans="1:11">
      <c r="A58" t="s">
        <v>16</v>
      </c>
      <c r="B58" t="s">
        <v>36</v>
      </c>
      <c r="C58" s="1">
        <v>45352</v>
      </c>
      <c r="D58">
        <v>77</v>
      </c>
      <c r="E58">
        <v>14</v>
      </c>
      <c r="F58">
        <v>494.43</v>
      </c>
      <c r="G58">
        <v>4</v>
      </c>
      <c r="H58" s="2">
        <v>0.2857142857142857</v>
      </c>
      <c r="I58">
        <v>963.35</v>
      </c>
      <c r="J58">
        <v>2</v>
      </c>
      <c r="K58" s="2">
        <v>3.6699999999999997E-2</v>
      </c>
    </row>
    <row r="59" spans="1:11">
      <c r="A59" t="s">
        <v>17</v>
      </c>
      <c r="B59" t="s">
        <v>36</v>
      </c>
      <c r="C59" s="1">
        <v>45352</v>
      </c>
      <c r="D59">
        <v>50</v>
      </c>
      <c r="E59">
        <v>8</v>
      </c>
      <c r="F59">
        <v>512.92999999999995</v>
      </c>
      <c r="G59">
        <v>3</v>
      </c>
      <c r="H59" s="2">
        <v>0.375</v>
      </c>
      <c r="I59">
        <v>3725.66</v>
      </c>
      <c r="J59">
        <v>1</v>
      </c>
      <c r="K59" s="2">
        <v>1.1599999999999999E-2</v>
      </c>
    </row>
    <row r="60" spans="1:11">
      <c r="A60" t="s">
        <v>18</v>
      </c>
      <c r="B60" t="s">
        <v>36</v>
      </c>
      <c r="C60" s="1">
        <v>45352</v>
      </c>
      <c r="D60">
        <v>88</v>
      </c>
      <c r="E60">
        <v>18</v>
      </c>
      <c r="F60">
        <v>291.04000000000002</v>
      </c>
      <c r="G60">
        <v>2</v>
      </c>
      <c r="H60" s="2">
        <v>0.1111111111111111</v>
      </c>
      <c r="I60">
        <v>2619.84</v>
      </c>
      <c r="J60">
        <v>3</v>
      </c>
      <c r="K60" s="2">
        <v>0.10550000000000001</v>
      </c>
    </row>
    <row r="61" spans="1:11">
      <c r="A61" t="s">
        <v>19</v>
      </c>
      <c r="B61" t="s">
        <v>36</v>
      </c>
      <c r="C61" s="1">
        <v>45352</v>
      </c>
      <c r="D61">
        <v>62</v>
      </c>
      <c r="E61">
        <v>9</v>
      </c>
      <c r="F61">
        <v>252.77</v>
      </c>
      <c r="G61">
        <v>7</v>
      </c>
      <c r="H61" s="2">
        <v>0.77777777777777779</v>
      </c>
      <c r="I61">
        <v>4641.6099999999997</v>
      </c>
      <c r="J61">
        <v>2</v>
      </c>
      <c r="K61" s="2">
        <v>4.0800000000000003E-2</v>
      </c>
    </row>
    <row r="62" spans="1:11">
      <c r="A62" t="s">
        <v>20</v>
      </c>
      <c r="B62" t="s">
        <v>36</v>
      </c>
      <c r="C62" s="1">
        <v>45352</v>
      </c>
      <c r="D62">
        <v>33</v>
      </c>
      <c r="E62">
        <v>18</v>
      </c>
      <c r="F62">
        <v>348.57</v>
      </c>
      <c r="G62">
        <v>8</v>
      </c>
      <c r="H62" s="2">
        <v>0.44444444444444442</v>
      </c>
      <c r="I62">
        <v>1169.6400000000001</v>
      </c>
      <c r="J62">
        <v>1</v>
      </c>
      <c r="K62" s="2">
        <v>5.4800000000000001E-2</v>
      </c>
    </row>
    <row r="63" spans="1:11">
      <c r="A63" t="s">
        <v>21</v>
      </c>
      <c r="B63" t="s">
        <v>36</v>
      </c>
      <c r="C63" s="1">
        <v>45352</v>
      </c>
      <c r="D63">
        <v>54</v>
      </c>
      <c r="E63">
        <v>15</v>
      </c>
      <c r="F63">
        <v>321.99</v>
      </c>
      <c r="G63">
        <v>8</v>
      </c>
      <c r="H63" s="2">
        <v>0.53333333333333333</v>
      </c>
      <c r="I63">
        <v>1080.0899999999999</v>
      </c>
      <c r="J63">
        <v>1</v>
      </c>
      <c r="K63" s="2">
        <v>3.5499999999999997E-2</v>
      </c>
    </row>
    <row r="64" spans="1:11">
      <c r="A64" t="s">
        <v>22</v>
      </c>
      <c r="B64" t="s">
        <v>36</v>
      </c>
      <c r="C64" s="1">
        <v>45352</v>
      </c>
      <c r="D64">
        <v>16</v>
      </c>
      <c r="E64">
        <v>9</v>
      </c>
      <c r="F64">
        <v>199.87</v>
      </c>
      <c r="G64">
        <v>9</v>
      </c>
      <c r="H64" s="2">
        <v>1</v>
      </c>
      <c r="I64">
        <v>818.64</v>
      </c>
      <c r="J64">
        <v>3</v>
      </c>
      <c r="K64" s="2">
        <v>7.46E-2</v>
      </c>
    </row>
    <row r="65" spans="1:11">
      <c r="A65" t="s">
        <v>23</v>
      </c>
      <c r="B65" t="s">
        <v>36</v>
      </c>
      <c r="C65" s="1">
        <v>45352</v>
      </c>
      <c r="D65">
        <v>30</v>
      </c>
      <c r="E65">
        <v>5</v>
      </c>
      <c r="F65">
        <v>565.19000000000005</v>
      </c>
      <c r="G65">
        <v>4</v>
      </c>
      <c r="H65" s="2">
        <v>0.8</v>
      </c>
      <c r="I65">
        <v>3621.51</v>
      </c>
      <c r="J65">
        <v>2</v>
      </c>
      <c r="K65" s="2">
        <v>4.3099999999999999E-2</v>
      </c>
    </row>
    <row r="66" spans="1:11">
      <c r="A66" t="s">
        <v>24</v>
      </c>
      <c r="B66" t="s">
        <v>36</v>
      </c>
      <c r="C66" s="1">
        <v>45352</v>
      </c>
      <c r="D66">
        <v>68</v>
      </c>
      <c r="E66">
        <v>19</v>
      </c>
      <c r="F66">
        <v>623.25</v>
      </c>
      <c r="G66">
        <v>3</v>
      </c>
      <c r="H66" s="2">
        <v>0.15789473684210525</v>
      </c>
      <c r="I66">
        <v>355.96</v>
      </c>
      <c r="J66">
        <v>1</v>
      </c>
      <c r="K66" s="2">
        <v>3.6299999999999999E-2</v>
      </c>
    </row>
    <row r="67" spans="1:11">
      <c r="A67" t="s">
        <v>25</v>
      </c>
      <c r="B67" t="s">
        <v>36</v>
      </c>
      <c r="C67" s="1">
        <v>45352</v>
      </c>
      <c r="D67">
        <v>31</v>
      </c>
      <c r="E67">
        <v>9</v>
      </c>
      <c r="F67">
        <v>209.18</v>
      </c>
      <c r="G67">
        <v>2</v>
      </c>
      <c r="H67" s="2">
        <v>0.22222222222222221</v>
      </c>
      <c r="I67">
        <v>4153.3100000000004</v>
      </c>
      <c r="J67">
        <v>3</v>
      </c>
      <c r="K67" s="2">
        <v>4.0399999999999998E-2</v>
      </c>
    </row>
    <row r="68" spans="1:11">
      <c r="A68" t="s">
        <v>26</v>
      </c>
      <c r="B68" t="s">
        <v>36</v>
      </c>
      <c r="C68" s="1">
        <v>45352</v>
      </c>
      <c r="D68">
        <v>61</v>
      </c>
      <c r="E68">
        <v>7</v>
      </c>
      <c r="F68">
        <v>190.5</v>
      </c>
      <c r="G68">
        <v>3</v>
      </c>
      <c r="H68" s="2">
        <v>0.42857142857142855</v>
      </c>
      <c r="I68">
        <v>661.2</v>
      </c>
      <c r="J68">
        <v>2</v>
      </c>
      <c r="K68" s="2">
        <v>2.7699999999999999E-2</v>
      </c>
    </row>
    <row r="69" spans="1:11">
      <c r="A69" t="s">
        <v>27</v>
      </c>
      <c r="B69" t="s">
        <v>36</v>
      </c>
      <c r="C69" s="1">
        <v>45352</v>
      </c>
      <c r="D69">
        <v>83</v>
      </c>
      <c r="E69">
        <v>5</v>
      </c>
      <c r="F69">
        <v>170.12</v>
      </c>
      <c r="G69">
        <v>3</v>
      </c>
      <c r="H69" s="2">
        <v>0.6</v>
      </c>
      <c r="I69">
        <v>1171.95</v>
      </c>
      <c r="J69">
        <v>1</v>
      </c>
      <c r="K69" s="2">
        <v>7.690000000000001E-2</v>
      </c>
    </row>
    <row r="70" spans="1:11">
      <c r="A70" t="s">
        <v>28</v>
      </c>
      <c r="B70" t="s">
        <v>36</v>
      </c>
      <c r="C70" s="1">
        <v>45352</v>
      </c>
      <c r="D70">
        <v>74</v>
      </c>
      <c r="E70">
        <v>7</v>
      </c>
      <c r="F70">
        <v>87.89</v>
      </c>
      <c r="G70">
        <v>7</v>
      </c>
      <c r="H70" s="2">
        <v>1</v>
      </c>
      <c r="I70">
        <v>3848.14</v>
      </c>
      <c r="J70">
        <v>3</v>
      </c>
      <c r="K70" s="2">
        <v>8.6699999999999999E-2</v>
      </c>
    </row>
    <row r="71" spans="1:11">
      <c r="A71" t="s">
        <v>29</v>
      </c>
      <c r="B71" t="s">
        <v>36</v>
      </c>
      <c r="C71" s="1">
        <v>45352</v>
      </c>
      <c r="D71">
        <v>21</v>
      </c>
      <c r="E71">
        <v>14</v>
      </c>
      <c r="F71">
        <v>498.82</v>
      </c>
      <c r="G71">
        <v>5</v>
      </c>
      <c r="H71" s="2">
        <v>0.35714285714285715</v>
      </c>
      <c r="I71">
        <v>4039.26</v>
      </c>
      <c r="J71">
        <v>2</v>
      </c>
      <c r="K71" s="2">
        <v>3.4000000000000002E-2</v>
      </c>
    </row>
    <row r="72" spans="1:11">
      <c r="A72" t="s">
        <v>30</v>
      </c>
      <c r="B72" t="s">
        <v>39</v>
      </c>
      <c r="C72" s="1">
        <v>45352</v>
      </c>
      <c r="D72">
        <v>84</v>
      </c>
      <c r="E72">
        <v>15</v>
      </c>
      <c r="F72">
        <v>163.21</v>
      </c>
      <c r="G72">
        <v>5</v>
      </c>
      <c r="H72" s="2">
        <v>0.33333333333333331</v>
      </c>
      <c r="I72">
        <v>411.36</v>
      </c>
      <c r="J72">
        <v>1</v>
      </c>
      <c r="K72" s="2">
        <v>0.1014</v>
      </c>
    </row>
    <row r="73" spans="1:11">
      <c r="A73" t="s">
        <v>31</v>
      </c>
      <c r="B73" t="s">
        <v>39</v>
      </c>
      <c r="C73" s="1">
        <v>45352</v>
      </c>
      <c r="D73">
        <v>64</v>
      </c>
      <c r="E73">
        <v>13</v>
      </c>
      <c r="F73">
        <v>496.4</v>
      </c>
      <c r="G73">
        <v>0</v>
      </c>
      <c r="H73" s="2">
        <v>0</v>
      </c>
      <c r="I73">
        <v>1306.3800000000001</v>
      </c>
      <c r="J73">
        <v>3</v>
      </c>
      <c r="K73" s="2">
        <v>1.1000000000000001E-3</v>
      </c>
    </row>
    <row r="74" spans="1:11">
      <c r="A74" t="s">
        <v>32</v>
      </c>
      <c r="B74" t="s">
        <v>39</v>
      </c>
      <c r="C74" s="1">
        <v>45352</v>
      </c>
      <c r="D74">
        <v>21</v>
      </c>
      <c r="E74">
        <v>13</v>
      </c>
      <c r="F74">
        <v>315.41000000000003</v>
      </c>
      <c r="G74">
        <v>1</v>
      </c>
      <c r="H74" s="2">
        <v>7.6923076923076927E-2</v>
      </c>
      <c r="I74">
        <v>1692.59</v>
      </c>
      <c r="J74">
        <v>2</v>
      </c>
      <c r="K74" s="2">
        <v>5.0999999999999997E-2</v>
      </c>
    </row>
    <row r="75" spans="1:11">
      <c r="A75" t="s">
        <v>33</v>
      </c>
      <c r="B75" t="s">
        <v>39</v>
      </c>
      <c r="C75" s="1">
        <v>45352</v>
      </c>
      <c r="D75">
        <v>110</v>
      </c>
      <c r="E75">
        <v>6</v>
      </c>
      <c r="F75">
        <v>535.37</v>
      </c>
      <c r="G75">
        <v>2</v>
      </c>
      <c r="H75" s="2">
        <v>0.33333333333333331</v>
      </c>
      <c r="I75">
        <v>3113.29</v>
      </c>
      <c r="J75">
        <v>1</v>
      </c>
      <c r="K75" s="2">
        <v>3.2099999999999997E-2</v>
      </c>
    </row>
    <row r="76" spans="1:11">
      <c r="A76" t="s">
        <v>34</v>
      </c>
      <c r="B76" t="s">
        <v>39</v>
      </c>
      <c r="C76" s="1">
        <v>45352</v>
      </c>
      <c r="D76">
        <v>62</v>
      </c>
      <c r="E76">
        <v>8</v>
      </c>
      <c r="F76">
        <v>198.84</v>
      </c>
      <c r="G76">
        <v>8</v>
      </c>
      <c r="H76" s="2">
        <v>1</v>
      </c>
      <c r="I76">
        <v>534.58000000000004</v>
      </c>
      <c r="J76">
        <v>3</v>
      </c>
      <c r="K76" s="2">
        <v>8.8000000000000009E-2</v>
      </c>
    </row>
    <row r="77" spans="1:11">
      <c r="A77" t="s">
        <v>35</v>
      </c>
      <c r="B77" t="s">
        <v>39</v>
      </c>
      <c r="C77" s="1">
        <v>45352</v>
      </c>
      <c r="D77">
        <v>108</v>
      </c>
      <c r="E77">
        <v>14</v>
      </c>
      <c r="F77">
        <v>416.78</v>
      </c>
      <c r="G77">
        <v>1</v>
      </c>
      <c r="H77" s="2">
        <v>7.1428571428571425E-2</v>
      </c>
      <c r="I77">
        <v>2989.69</v>
      </c>
      <c r="J77">
        <v>2</v>
      </c>
      <c r="K77" s="2">
        <v>2.5499999999999998E-2</v>
      </c>
    </row>
    <row r="78" spans="1:11">
      <c r="A78" t="s">
        <v>37</v>
      </c>
      <c r="B78" t="s">
        <v>39</v>
      </c>
      <c r="C78" s="1">
        <v>45352</v>
      </c>
      <c r="D78">
        <v>28</v>
      </c>
      <c r="E78">
        <v>12</v>
      </c>
      <c r="F78">
        <v>533.85</v>
      </c>
      <c r="G78">
        <v>5</v>
      </c>
      <c r="H78" s="2">
        <v>0.41666666666666669</v>
      </c>
      <c r="I78">
        <v>224.87</v>
      </c>
      <c r="J78">
        <v>1</v>
      </c>
      <c r="K78" s="2">
        <v>6.480000000000001E-2</v>
      </c>
    </row>
    <row r="79" spans="1:11">
      <c r="A79" t="s">
        <v>38</v>
      </c>
      <c r="B79" t="s">
        <v>39</v>
      </c>
      <c r="C79" s="1">
        <v>45352</v>
      </c>
      <c r="D79">
        <v>39</v>
      </c>
      <c r="E79">
        <v>16</v>
      </c>
      <c r="F79">
        <v>312.8</v>
      </c>
      <c r="G79">
        <v>8</v>
      </c>
      <c r="H79" s="2">
        <v>0.5</v>
      </c>
      <c r="I79">
        <v>4592.09</v>
      </c>
      <c r="J79">
        <v>3</v>
      </c>
      <c r="K79" s="2">
        <v>8.5500000000000007E-2</v>
      </c>
    </row>
    <row r="80" spans="1:11">
      <c r="A80" t="s">
        <v>11</v>
      </c>
      <c r="B80" t="s">
        <v>39</v>
      </c>
      <c r="C80" s="1">
        <v>45383</v>
      </c>
      <c r="D80">
        <v>69</v>
      </c>
      <c r="E80">
        <v>17</v>
      </c>
      <c r="F80">
        <v>342.81</v>
      </c>
      <c r="G80">
        <v>6</v>
      </c>
      <c r="H80" s="2">
        <v>0.35294117647058826</v>
      </c>
      <c r="I80">
        <v>3728.2</v>
      </c>
      <c r="J80">
        <v>2</v>
      </c>
      <c r="K80" s="2">
        <v>2.9600000000000001E-2</v>
      </c>
    </row>
    <row r="81" spans="1:11">
      <c r="A81" t="s">
        <v>13</v>
      </c>
      <c r="B81" t="s">
        <v>39</v>
      </c>
      <c r="C81" s="1">
        <v>45383</v>
      </c>
      <c r="D81">
        <v>83</v>
      </c>
      <c r="E81">
        <v>11</v>
      </c>
      <c r="F81">
        <v>365.12</v>
      </c>
      <c r="G81">
        <v>5</v>
      </c>
      <c r="H81" s="2">
        <v>0.45454545454545453</v>
      </c>
      <c r="I81">
        <v>3682.69</v>
      </c>
      <c r="J81">
        <v>1</v>
      </c>
      <c r="K81" s="2">
        <v>3.8199999999999998E-2</v>
      </c>
    </row>
    <row r="82" spans="1:11">
      <c r="A82" t="s">
        <v>14</v>
      </c>
      <c r="B82" t="s">
        <v>39</v>
      </c>
      <c r="C82" s="1">
        <v>45383</v>
      </c>
      <c r="D82">
        <v>41</v>
      </c>
      <c r="E82">
        <v>14</v>
      </c>
      <c r="F82">
        <v>416.88</v>
      </c>
      <c r="G82">
        <v>2</v>
      </c>
      <c r="H82" s="2">
        <v>0.14285714285714285</v>
      </c>
      <c r="I82">
        <v>3638.83</v>
      </c>
      <c r="J82">
        <v>3</v>
      </c>
      <c r="K82" s="2">
        <v>4.41E-2</v>
      </c>
    </row>
    <row r="83" spans="1:11">
      <c r="A83" t="s">
        <v>15</v>
      </c>
      <c r="B83" t="s">
        <v>39</v>
      </c>
      <c r="C83" s="1">
        <v>45383</v>
      </c>
      <c r="D83">
        <v>17</v>
      </c>
      <c r="E83">
        <v>7</v>
      </c>
      <c r="F83">
        <v>81.14</v>
      </c>
      <c r="G83">
        <v>3</v>
      </c>
      <c r="H83" s="2">
        <v>0.42857142857142855</v>
      </c>
      <c r="I83">
        <v>1419.04</v>
      </c>
      <c r="J83">
        <v>2</v>
      </c>
      <c r="K83" s="2">
        <v>2.9399999999999999E-2</v>
      </c>
    </row>
    <row r="84" spans="1:11">
      <c r="A84" t="s">
        <v>16</v>
      </c>
      <c r="B84" t="s">
        <v>39</v>
      </c>
      <c r="C84" s="1">
        <v>45383</v>
      </c>
      <c r="D84">
        <v>76</v>
      </c>
      <c r="E84">
        <v>16</v>
      </c>
      <c r="F84">
        <v>449.04</v>
      </c>
      <c r="G84">
        <v>4</v>
      </c>
      <c r="H84" s="2">
        <v>0.25</v>
      </c>
      <c r="I84">
        <v>1019.97</v>
      </c>
      <c r="J84">
        <v>1</v>
      </c>
      <c r="K84" s="2">
        <v>3.8100000000000002E-2</v>
      </c>
    </row>
    <row r="85" spans="1:11">
      <c r="A85" t="s">
        <v>17</v>
      </c>
      <c r="B85" t="s">
        <v>39</v>
      </c>
      <c r="C85" s="1">
        <v>45383</v>
      </c>
      <c r="D85">
        <v>72</v>
      </c>
      <c r="E85">
        <v>6</v>
      </c>
      <c r="F85">
        <v>508.55</v>
      </c>
      <c r="G85">
        <v>3</v>
      </c>
      <c r="H85" s="2">
        <v>0.5</v>
      </c>
      <c r="I85">
        <v>3633.75</v>
      </c>
      <c r="J85">
        <v>3</v>
      </c>
      <c r="K85" s="2">
        <v>1.1399999999999999E-2</v>
      </c>
    </row>
    <row r="86" spans="1:11">
      <c r="A86" t="s">
        <v>18</v>
      </c>
      <c r="B86" t="s">
        <v>39</v>
      </c>
      <c r="C86" s="1">
        <v>45383</v>
      </c>
      <c r="D86">
        <v>72</v>
      </c>
      <c r="E86">
        <v>18</v>
      </c>
      <c r="F86">
        <v>299.08999999999997</v>
      </c>
      <c r="G86">
        <v>2</v>
      </c>
      <c r="H86" s="2">
        <v>0.1111111111111111</v>
      </c>
      <c r="I86">
        <v>2378.29</v>
      </c>
      <c r="J86">
        <v>2</v>
      </c>
      <c r="K86" s="2">
        <v>0.1052</v>
      </c>
    </row>
    <row r="87" spans="1:11">
      <c r="A87" t="s">
        <v>19</v>
      </c>
      <c r="B87" t="s">
        <v>39</v>
      </c>
      <c r="C87" s="1">
        <v>45383</v>
      </c>
      <c r="D87">
        <v>44</v>
      </c>
      <c r="E87">
        <v>6</v>
      </c>
      <c r="F87">
        <v>246.21</v>
      </c>
      <c r="G87">
        <v>5</v>
      </c>
      <c r="H87" s="2">
        <v>0.83333333333333337</v>
      </c>
      <c r="I87">
        <v>4155.8</v>
      </c>
      <c r="J87">
        <v>1</v>
      </c>
      <c r="K87" s="2">
        <v>4.3299999999999998E-2</v>
      </c>
    </row>
    <row r="88" spans="1:11">
      <c r="A88" t="s">
        <v>20</v>
      </c>
      <c r="B88" t="s">
        <v>39</v>
      </c>
      <c r="C88" s="1">
        <v>45383</v>
      </c>
      <c r="D88">
        <v>29</v>
      </c>
      <c r="E88">
        <v>16</v>
      </c>
      <c r="F88">
        <v>412.07</v>
      </c>
      <c r="G88">
        <v>10</v>
      </c>
      <c r="H88" s="2">
        <v>0.625</v>
      </c>
      <c r="I88">
        <v>1075.94</v>
      </c>
      <c r="J88">
        <v>1</v>
      </c>
      <c r="K88" s="2">
        <v>6.2400000000000004E-2</v>
      </c>
    </row>
    <row r="89" spans="1:11">
      <c r="A89" t="s">
        <v>21</v>
      </c>
      <c r="B89" t="s">
        <v>39</v>
      </c>
      <c r="C89" s="1">
        <v>45383</v>
      </c>
      <c r="D89">
        <v>64</v>
      </c>
      <c r="E89">
        <v>13</v>
      </c>
      <c r="F89">
        <v>317.58</v>
      </c>
      <c r="G89">
        <v>8</v>
      </c>
      <c r="H89" s="2">
        <v>0.61538461538461542</v>
      </c>
      <c r="I89">
        <v>1088.22</v>
      </c>
      <c r="J89">
        <v>3</v>
      </c>
      <c r="K89" s="2">
        <v>3.49E-2</v>
      </c>
    </row>
    <row r="90" spans="1:11">
      <c r="A90" t="s">
        <v>22</v>
      </c>
      <c r="B90" t="s">
        <v>39</v>
      </c>
      <c r="C90" s="1">
        <v>45383</v>
      </c>
      <c r="D90">
        <v>16</v>
      </c>
      <c r="E90">
        <v>7</v>
      </c>
      <c r="F90">
        <v>181.58</v>
      </c>
      <c r="G90">
        <v>6</v>
      </c>
      <c r="H90" s="2">
        <v>0.8571428571428571</v>
      </c>
      <c r="I90">
        <v>868.4</v>
      </c>
      <c r="J90">
        <v>2</v>
      </c>
      <c r="K90" s="2">
        <v>8.4100000000000008E-2</v>
      </c>
    </row>
    <row r="91" spans="1:11">
      <c r="A91" t="s">
        <v>23</v>
      </c>
      <c r="B91" t="s">
        <v>39</v>
      </c>
      <c r="C91" s="1">
        <v>45383</v>
      </c>
      <c r="D91">
        <v>37</v>
      </c>
      <c r="E91">
        <v>7</v>
      </c>
      <c r="F91">
        <v>470.85</v>
      </c>
      <c r="G91">
        <v>7</v>
      </c>
      <c r="H91" s="2">
        <v>1</v>
      </c>
      <c r="I91">
        <v>3483.6</v>
      </c>
      <c r="J91">
        <v>1</v>
      </c>
      <c r="K91" s="2">
        <v>4.2599999999999999E-2</v>
      </c>
    </row>
    <row r="92" spans="1:11">
      <c r="A92" t="s">
        <v>24</v>
      </c>
      <c r="B92" t="s">
        <v>39</v>
      </c>
      <c r="C92" s="1">
        <v>45383</v>
      </c>
      <c r="D92">
        <v>81</v>
      </c>
      <c r="E92">
        <v>16</v>
      </c>
      <c r="F92">
        <v>584.29999999999995</v>
      </c>
      <c r="G92">
        <v>3</v>
      </c>
      <c r="H92" s="2">
        <v>0.1875</v>
      </c>
      <c r="I92">
        <v>377.45</v>
      </c>
      <c r="J92">
        <v>3</v>
      </c>
      <c r="K92" s="2">
        <v>3.32E-2</v>
      </c>
    </row>
    <row r="93" spans="1:11">
      <c r="A93" t="s">
        <v>25</v>
      </c>
      <c r="B93" t="s">
        <v>39</v>
      </c>
      <c r="C93" s="1">
        <v>45383</v>
      </c>
      <c r="D93">
        <v>26</v>
      </c>
      <c r="E93">
        <v>6</v>
      </c>
      <c r="F93">
        <v>231.59</v>
      </c>
      <c r="G93">
        <v>2</v>
      </c>
      <c r="H93" s="2">
        <v>0.33333333333333331</v>
      </c>
      <c r="I93">
        <v>3988.15</v>
      </c>
      <c r="J93">
        <v>2</v>
      </c>
      <c r="K93" s="2">
        <v>3.8399999999999997E-2</v>
      </c>
    </row>
    <row r="94" spans="1:11">
      <c r="A94" t="s">
        <v>26</v>
      </c>
      <c r="B94" t="s">
        <v>40</v>
      </c>
      <c r="C94" s="1">
        <v>45383</v>
      </c>
      <c r="D94">
        <v>69</v>
      </c>
      <c r="E94">
        <v>9</v>
      </c>
      <c r="F94">
        <v>221.01</v>
      </c>
      <c r="G94">
        <v>3</v>
      </c>
      <c r="H94" s="2">
        <v>0.33333333333333331</v>
      </c>
      <c r="I94">
        <v>643.44000000000005</v>
      </c>
      <c r="J94">
        <v>1</v>
      </c>
      <c r="K94" s="2">
        <v>3.2000000000000001E-2</v>
      </c>
    </row>
    <row r="95" spans="1:11">
      <c r="A95" t="s">
        <v>27</v>
      </c>
      <c r="B95" t="s">
        <v>40</v>
      </c>
      <c r="C95" s="1">
        <v>45383</v>
      </c>
      <c r="D95">
        <v>103</v>
      </c>
      <c r="E95">
        <v>6</v>
      </c>
      <c r="F95">
        <v>165.74</v>
      </c>
      <c r="G95">
        <v>6</v>
      </c>
      <c r="H95" s="2">
        <v>1</v>
      </c>
      <c r="I95">
        <v>1169.3800000000001</v>
      </c>
      <c r="J95">
        <v>3</v>
      </c>
      <c r="K95" s="2">
        <v>7.7699999999999991E-2</v>
      </c>
    </row>
    <row r="96" spans="1:11">
      <c r="A96" t="s">
        <v>28</v>
      </c>
      <c r="B96" t="s">
        <v>40</v>
      </c>
      <c r="C96" s="1">
        <v>45383</v>
      </c>
      <c r="D96">
        <v>100</v>
      </c>
      <c r="E96">
        <v>7</v>
      </c>
      <c r="F96">
        <v>82.62</v>
      </c>
      <c r="G96">
        <v>6</v>
      </c>
      <c r="H96" s="2">
        <v>0.8571428571428571</v>
      </c>
      <c r="I96">
        <v>4085.91</v>
      </c>
      <c r="J96">
        <v>2</v>
      </c>
      <c r="K96" s="2">
        <v>9.0500000000000011E-2</v>
      </c>
    </row>
    <row r="97" spans="1:11">
      <c r="A97" t="s">
        <v>29</v>
      </c>
      <c r="B97" t="s">
        <v>40</v>
      </c>
      <c r="C97" s="1">
        <v>45383</v>
      </c>
      <c r="D97">
        <v>26</v>
      </c>
      <c r="E97">
        <v>17</v>
      </c>
      <c r="F97">
        <v>526.34</v>
      </c>
      <c r="G97">
        <v>6</v>
      </c>
      <c r="H97" s="2">
        <v>0.35294117647058826</v>
      </c>
      <c r="I97">
        <v>3360.11</v>
      </c>
      <c r="J97">
        <v>1</v>
      </c>
      <c r="K97" s="2">
        <v>3.0600000000000002E-2</v>
      </c>
    </row>
    <row r="98" spans="1:11">
      <c r="A98" t="s">
        <v>30</v>
      </c>
      <c r="B98" t="s">
        <v>40</v>
      </c>
      <c r="C98" s="1">
        <v>45383</v>
      </c>
      <c r="D98">
        <v>104</v>
      </c>
      <c r="E98">
        <v>22</v>
      </c>
      <c r="F98">
        <v>190.87</v>
      </c>
      <c r="G98">
        <v>4</v>
      </c>
      <c r="H98" s="2">
        <v>0.18181818181818182</v>
      </c>
      <c r="I98">
        <v>433.41</v>
      </c>
      <c r="J98">
        <v>3</v>
      </c>
      <c r="K98" s="2">
        <v>9.3599999999999989E-2</v>
      </c>
    </row>
    <row r="99" spans="1:11">
      <c r="A99" t="s">
        <v>31</v>
      </c>
      <c r="B99" t="s">
        <v>40</v>
      </c>
      <c r="C99" s="1">
        <v>45383</v>
      </c>
      <c r="D99">
        <v>63</v>
      </c>
      <c r="E99">
        <v>11</v>
      </c>
      <c r="F99">
        <v>554.51</v>
      </c>
      <c r="G99">
        <v>1</v>
      </c>
      <c r="H99" s="2">
        <v>9.0909090909090912E-2</v>
      </c>
      <c r="I99">
        <v>1138.51</v>
      </c>
      <c r="J99">
        <v>2</v>
      </c>
      <c r="K99" s="2">
        <v>1E-3</v>
      </c>
    </row>
    <row r="100" spans="1:11">
      <c r="A100" t="s">
        <v>32</v>
      </c>
      <c r="B100" t="s">
        <v>40</v>
      </c>
      <c r="C100" s="1">
        <v>45383</v>
      </c>
      <c r="D100">
        <v>22</v>
      </c>
      <c r="E100">
        <v>13</v>
      </c>
      <c r="F100">
        <v>302.49</v>
      </c>
      <c r="G100">
        <v>2</v>
      </c>
      <c r="H100" s="2">
        <v>0.15384615384615385</v>
      </c>
      <c r="I100">
        <v>1591.45</v>
      </c>
      <c r="J100">
        <v>3</v>
      </c>
      <c r="K100" s="2">
        <v>4.9599999999999998E-2</v>
      </c>
    </row>
    <row r="101" spans="1:11">
      <c r="A101" t="s">
        <v>33</v>
      </c>
      <c r="B101" t="s">
        <v>40</v>
      </c>
      <c r="C101" s="1">
        <v>45383</v>
      </c>
      <c r="D101">
        <v>91</v>
      </c>
      <c r="E101">
        <v>5</v>
      </c>
      <c r="F101">
        <v>605.11</v>
      </c>
      <c r="G101">
        <v>2</v>
      </c>
      <c r="H101" s="2">
        <v>0.4</v>
      </c>
      <c r="I101">
        <v>3499.88</v>
      </c>
      <c r="J101">
        <v>2</v>
      </c>
      <c r="K101" s="2">
        <v>3.0200000000000001E-2</v>
      </c>
    </row>
    <row r="102" spans="1:11">
      <c r="A102" t="s">
        <v>34</v>
      </c>
      <c r="B102" t="s">
        <v>40</v>
      </c>
      <c r="C102" s="1">
        <v>45383</v>
      </c>
      <c r="D102">
        <v>77</v>
      </c>
      <c r="E102">
        <v>8</v>
      </c>
      <c r="F102">
        <v>173.88</v>
      </c>
      <c r="G102">
        <v>6</v>
      </c>
      <c r="H102" s="2">
        <v>0.75</v>
      </c>
      <c r="I102">
        <v>462.44</v>
      </c>
      <c r="J102">
        <v>1</v>
      </c>
      <c r="K102" s="2">
        <v>7.9899999999999999E-2</v>
      </c>
    </row>
    <row r="103" spans="1:11">
      <c r="A103" t="s">
        <v>35</v>
      </c>
      <c r="B103" t="s">
        <v>40</v>
      </c>
      <c r="C103" s="1">
        <v>45383</v>
      </c>
      <c r="D103">
        <v>90</v>
      </c>
      <c r="E103">
        <v>17</v>
      </c>
      <c r="F103">
        <v>366.84</v>
      </c>
      <c r="G103">
        <v>0</v>
      </c>
      <c r="H103" s="2">
        <v>0</v>
      </c>
      <c r="I103">
        <v>3153.56</v>
      </c>
      <c r="J103">
        <v>3</v>
      </c>
      <c r="K103" s="2">
        <v>2.4500000000000001E-2</v>
      </c>
    </row>
    <row r="104" spans="1:11">
      <c r="A104" t="s">
        <v>37</v>
      </c>
      <c r="B104" t="s">
        <v>40</v>
      </c>
      <c r="C104" s="1">
        <v>45383</v>
      </c>
      <c r="D104">
        <v>33</v>
      </c>
      <c r="E104">
        <v>9</v>
      </c>
      <c r="F104">
        <v>578.41999999999996</v>
      </c>
      <c r="G104">
        <v>4</v>
      </c>
      <c r="H104" s="2">
        <v>0.44444444444444442</v>
      </c>
      <c r="I104">
        <v>229.72</v>
      </c>
      <c r="J104">
        <v>2</v>
      </c>
      <c r="K104" s="2">
        <v>7.46E-2</v>
      </c>
    </row>
    <row r="105" spans="1:11">
      <c r="A105" t="s">
        <v>38</v>
      </c>
      <c r="B105" t="s">
        <v>40</v>
      </c>
      <c r="C105" s="1">
        <v>45383</v>
      </c>
      <c r="D105">
        <v>42</v>
      </c>
      <c r="E105">
        <v>14</v>
      </c>
      <c r="F105">
        <v>321.29000000000002</v>
      </c>
      <c r="G105">
        <v>7</v>
      </c>
      <c r="H105" s="2">
        <v>0.5</v>
      </c>
      <c r="I105">
        <v>4298.2700000000004</v>
      </c>
      <c r="J105">
        <v>1</v>
      </c>
      <c r="K105" s="2">
        <v>7.4499999999999997E-2</v>
      </c>
    </row>
    <row r="106" spans="1:11">
      <c r="A106" t="s">
        <v>11</v>
      </c>
      <c r="B106" t="s">
        <v>40</v>
      </c>
      <c r="C106" s="1">
        <v>45413</v>
      </c>
      <c r="D106">
        <v>69</v>
      </c>
      <c r="E106">
        <v>16</v>
      </c>
      <c r="F106">
        <v>299.22000000000003</v>
      </c>
      <c r="G106">
        <v>6</v>
      </c>
      <c r="H106" s="2">
        <v>0.375</v>
      </c>
      <c r="I106">
        <v>3716.14</v>
      </c>
      <c r="J106">
        <v>3</v>
      </c>
      <c r="K106" s="2">
        <v>2.63E-2</v>
      </c>
    </row>
    <row r="107" spans="1:11">
      <c r="A107" t="s">
        <v>13</v>
      </c>
      <c r="B107" t="s">
        <v>40</v>
      </c>
      <c r="C107" s="1">
        <v>45413</v>
      </c>
      <c r="D107">
        <v>68</v>
      </c>
      <c r="E107">
        <v>11</v>
      </c>
      <c r="F107">
        <v>345.62</v>
      </c>
      <c r="G107">
        <v>4</v>
      </c>
      <c r="H107" s="2">
        <v>0.36363636363636365</v>
      </c>
      <c r="I107">
        <v>3558.13</v>
      </c>
      <c r="J107">
        <v>2</v>
      </c>
      <c r="K107" s="2">
        <v>4.0800000000000003E-2</v>
      </c>
    </row>
    <row r="108" spans="1:11">
      <c r="A108" t="s">
        <v>14</v>
      </c>
      <c r="B108" t="s">
        <v>40</v>
      </c>
      <c r="C108" s="1">
        <v>45413</v>
      </c>
      <c r="D108">
        <v>45</v>
      </c>
      <c r="E108">
        <v>17</v>
      </c>
      <c r="F108">
        <v>416.96</v>
      </c>
      <c r="G108">
        <v>3</v>
      </c>
      <c r="H108" s="2">
        <v>0.17647058823529413</v>
      </c>
      <c r="I108">
        <v>3327.07</v>
      </c>
      <c r="J108">
        <v>1</v>
      </c>
      <c r="K108" s="2">
        <v>4.0999999999999995E-2</v>
      </c>
    </row>
    <row r="109" spans="1:11">
      <c r="A109" t="s">
        <v>15</v>
      </c>
      <c r="B109" t="s">
        <v>40</v>
      </c>
      <c r="C109" s="1">
        <v>45413</v>
      </c>
      <c r="D109">
        <v>17</v>
      </c>
      <c r="E109">
        <v>8</v>
      </c>
      <c r="F109">
        <v>72.05</v>
      </c>
      <c r="G109">
        <v>3</v>
      </c>
      <c r="H109" s="2">
        <v>0.375</v>
      </c>
      <c r="I109">
        <v>1672.82</v>
      </c>
      <c r="J109">
        <v>3</v>
      </c>
      <c r="K109" s="2">
        <v>3.0299999999999997E-2</v>
      </c>
    </row>
    <row r="110" spans="1:11">
      <c r="A110" t="s">
        <v>16</v>
      </c>
      <c r="B110" t="s">
        <v>40</v>
      </c>
      <c r="C110" s="1">
        <v>45413</v>
      </c>
      <c r="D110">
        <v>85</v>
      </c>
      <c r="E110">
        <v>13</v>
      </c>
      <c r="F110">
        <v>475.61</v>
      </c>
      <c r="G110">
        <v>5</v>
      </c>
      <c r="H110" s="2">
        <v>0.38461538461538464</v>
      </c>
      <c r="I110">
        <v>939.32</v>
      </c>
      <c r="J110">
        <v>2</v>
      </c>
      <c r="K110" s="2">
        <v>3.6400000000000002E-2</v>
      </c>
    </row>
    <row r="111" spans="1:11">
      <c r="A111" t="s">
        <v>17</v>
      </c>
      <c r="B111" t="s">
        <v>40</v>
      </c>
      <c r="C111" s="1">
        <v>45413</v>
      </c>
      <c r="D111">
        <v>49</v>
      </c>
      <c r="E111">
        <v>7</v>
      </c>
      <c r="F111">
        <v>469.53</v>
      </c>
      <c r="G111">
        <v>3</v>
      </c>
      <c r="H111" s="2">
        <v>0.42857142857142855</v>
      </c>
      <c r="I111">
        <v>3623.32</v>
      </c>
      <c r="J111">
        <v>1</v>
      </c>
      <c r="K111" s="2">
        <v>1.21E-2</v>
      </c>
    </row>
    <row r="112" spans="1:11">
      <c r="A112" t="s">
        <v>18</v>
      </c>
      <c r="B112" t="s">
        <v>40</v>
      </c>
      <c r="C112" s="1">
        <v>45413</v>
      </c>
      <c r="D112">
        <v>66</v>
      </c>
      <c r="E112">
        <v>15</v>
      </c>
      <c r="F112">
        <v>333.1</v>
      </c>
      <c r="G112">
        <v>2</v>
      </c>
      <c r="H112" s="2">
        <v>0.13333333333333333</v>
      </c>
      <c r="I112">
        <v>2631.58</v>
      </c>
      <c r="J112">
        <v>1</v>
      </c>
      <c r="K112" s="2">
        <v>0.10249999999999999</v>
      </c>
    </row>
    <row r="113" spans="1:11">
      <c r="A113" t="s">
        <v>19</v>
      </c>
      <c r="B113" t="s">
        <v>40</v>
      </c>
      <c r="C113" s="1">
        <v>45413</v>
      </c>
      <c r="D113">
        <v>63</v>
      </c>
      <c r="E113">
        <v>9</v>
      </c>
      <c r="F113">
        <v>258.11</v>
      </c>
      <c r="G113">
        <v>7</v>
      </c>
      <c r="H113" s="2">
        <v>0.77777777777777779</v>
      </c>
      <c r="I113">
        <v>4064.36</v>
      </c>
      <c r="J113">
        <v>3</v>
      </c>
      <c r="K113" s="2">
        <v>4.1599999999999998E-2</v>
      </c>
    </row>
    <row r="114" spans="1:11">
      <c r="A114" t="s">
        <v>20</v>
      </c>
      <c r="B114" t="s">
        <v>40</v>
      </c>
      <c r="C114" s="1">
        <v>45413</v>
      </c>
      <c r="D114">
        <v>31</v>
      </c>
      <c r="E114">
        <v>20</v>
      </c>
      <c r="F114">
        <v>400.8</v>
      </c>
      <c r="G114">
        <v>8</v>
      </c>
      <c r="H114" s="2">
        <v>0.4</v>
      </c>
      <c r="I114">
        <v>1294.3599999999999</v>
      </c>
      <c r="J114">
        <v>2</v>
      </c>
      <c r="K114" s="2">
        <v>5.6399999999999999E-2</v>
      </c>
    </row>
    <row r="115" spans="1:11">
      <c r="A115" t="s">
        <v>21</v>
      </c>
      <c r="B115" t="s">
        <v>40</v>
      </c>
      <c r="C115" s="1">
        <v>45413</v>
      </c>
      <c r="D115">
        <v>75</v>
      </c>
      <c r="E115">
        <v>19</v>
      </c>
      <c r="F115">
        <v>343.28</v>
      </c>
      <c r="G115">
        <v>9</v>
      </c>
      <c r="H115" s="2">
        <v>0.47368421052631576</v>
      </c>
      <c r="I115">
        <v>899.46</v>
      </c>
      <c r="J115">
        <v>1</v>
      </c>
      <c r="K115" s="2">
        <v>3.2199999999999999E-2</v>
      </c>
    </row>
    <row r="116" spans="1:11">
      <c r="A116" t="s">
        <v>22</v>
      </c>
      <c r="B116" t="s">
        <v>40</v>
      </c>
      <c r="C116" s="1">
        <v>45413</v>
      </c>
      <c r="D116">
        <v>18</v>
      </c>
      <c r="E116">
        <v>7</v>
      </c>
      <c r="F116">
        <v>204.63</v>
      </c>
      <c r="G116">
        <v>7</v>
      </c>
      <c r="H116" s="2">
        <v>1</v>
      </c>
      <c r="I116">
        <v>789.77</v>
      </c>
      <c r="J116">
        <v>3</v>
      </c>
      <c r="K116" s="2">
        <v>7.4499999999999997E-2</v>
      </c>
    </row>
    <row r="117" spans="1:11">
      <c r="A117" t="s">
        <v>23</v>
      </c>
      <c r="B117" t="s">
        <v>40</v>
      </c>
      <c r="C117" s="1">
        <v>45413</v>
      </c>
      <c r="D117">
        <v>35</v>
      </c>
      <c r="E117">
        <v>6</v>
      </c>
      <c r="F117">
        <v>553.11</v>
      </c>
      <c r="G117">
        <v>4</v>
      </c>
      <c r="H117" s="2">
        <v>0.66666666666666663</v>
      </c>
      <c r="I117">
        <v>3867.67</v>
      </c>
      <c r="J117">
        <v>2</v>
      </c>
      <c r="K117" s="2">
        <v>3.8300000000000001E-2</v>
      </c>
    </row>
    <row r="118" spans="1:11">
      <c r="A118" t="s">
        <v>24</v>
      </c>
      <c r="B118" t="s">
        <v>40</v>
      </c>
      <c r="C118" s="1">
        <v>45413</v>
      </c>
      <c r="D118">
        <v>74</v>
      </c>
      <c r="E118">
        <v>20</v>
      </c>
      <c r="F118">
        <v>623.33000000000004</v>
      </c>
      <c r="G118">
        <v>2</v>
      </c>
      <c r="H118" s="2">
        <v>0.1</v>
      </c>
      <c r="I118">
        <v>359.97</v>
      </c>
      <c r="J118">
        <v>1</v>
      </c>
      <c r="K118" s="2">
        <v>3.8399999999999997E-2</v>
      </c>
    </row>
    <row r="119" spans="1:11">
      <c r="A119" t="s">
        <v>25</v>
      </c>
      <c r="B119" t="s">
        <v>40</v>
      </c>
      <c r="C119" s="1">
        <v>45413</v>
      </c>
      <c r="D119">
        <v>26</v>
      </c>
      <c r="E119">
        <v>7</v>
      </c>
      <c r="F119">
        <v>200.45</v>
      </c>
      <c r="G119">
        <v>1</v>
      </c>
      <c r="H119" s="2">
        <v>0.14285714285714285</v>
      </c>
      <c r="I119">
        <v>3797.35</v>
      </c>
      <c r="J119">
        <v>3</v>
      </c>
      <c r="K119" s="2">
        <v>4.1399999999999999E-2</v>
      </c>
    </row>
    <row r="120" spans="1:11">
      <c r="A120" t="s">
        <v>26</v>
      </c>
      <c r="B120" t="s">
        <v>40</v>
      </c>
      <c r="C120" s="1">
        <v>45413</v>
      </c>
      <c r="D120">
        <v>50</v>
      </c>
      <c r="E120">
        <v>7</v>
      </c>
      <c r="F120">
        <v>196.2</v>
      </c>
      <c r="G120">
        <v>2</v>
      </c>
      <c r="H120" s="2">
        <v>0.2857142857142857</v>
      </c>
      <c r="I120">
        <v>592.71</v>
      </c>
      <c r="J120">
        <v>2</v>
      </c>
      <c r="K120" s="2">
        <v>2.76E-2</v>
      </c>
    </row>
    <row r="121" spans="1:11">
      <c r="A121" t="s">
        <v>27</v>
      </c>
      <c r="B121" t="s">
        <v>40</v>
      </c>
      <c r="C121" s="1">
        <v>45413</v>
      </c>
      <c r="D121">
        <v>97</v>
      </c>
      <c r="E121">
        <v>5</v>
      </c>
      <c r="F121">
        <v>185.62</v>
      </c>
      <c r="G121">
        <v>4</v>
      </c>
      <c r="H121" s="2">
        <v>0.8</v>
      </c>
      <c r="I121">
        <v>1282.81</v>
      </c>
      <c r="J121">
        <v>1</v>
      </c>
      <c r="K121" s="2">
        <v>7.22E-2</v>
      </c>
    </row>
    <row r="122" spans="1:11">
      <c r="A122" t="s">
        <v>28</v>
      </c>
      <c r="B122" t="s">
        <v>40</v>
      </c>
      <c r="C122" s="1">
        <v>45413</v>
      </c>
      <c r="D122">
        <v>91</v>
      </c>
      <c r="E122">
        <v>7</v>
      </c>
      <c r="F122">
        <v>89.39</v>
      </c>
      <c r="G122">
        <v>6</v>
      </c>
      <c r="H122" s="2">
        <v>0.8571428571428571</v>
      </c>
      <c r="I122">
        <v>3971.59</v>
      </c>
      <c r="J122">
        <v>3</v>
      </c>
      <c r="K122" s="2">
        <v>9.0700000000000003E-2</v>
      </c>
    </row>
    <row r="123" spans="1:11">
      <c r="A123" t="s">
        <v>29</v>
      </c>
      <c r="B123" t="s">
        <v>40</v>
      </c>
      <c r="C123" s="1">
        <v>45413</v>
      </c>
      <c r="D123">
        <v>21</v>
      </c>
      <c r="E123">
        <v>14</v>
      </c>
      <c r="F123">
        <v>472.79</v>
      </c>
      <c r="G123">
        <v>8</v>
      </c>
      <c r="H123" s="2">
        <v>0.5714285714285714</v>
      </c>
      <c r="I123">
        <v>3830.32</v>
      </c>
      <c r="J123">
        <v>2</v>
      </c>
      <c r="K123" s="2">
        <v>3.5200000000000002E-2</v>
      </c>
    </row>
    <row r="124" spans="1:11">
      <c r="A124" t="s">
        <v>30</v>
      </c>
      <c r="B124" t="s">
        <v>40</v>
      </c>
      <c r="C124" s="1">
        <v>45413</v>
      </c>
      <c r="D124">
        <v>91</v>
      </c>
      <c r="E124">
        <v>15</v>
      </c>
      <c r="F124">
        <v>173.03</v>
      </c>
      <c r="G124">
        <v>4</v>
      </c>
      <c r="H124" s="2">
        <v>0.26666666666666666</v>
      </c>
      <c r="I124">
        <v>386.08</v>
      </c>
      <c r="J124">
        <v>1</v>
      </c>
      <c r="K124" s="2">
        <v>9.820000000000001E-2</v>
      </c>
    </row>
    <row r="125" spans="1:11">
      <c r="A125" t="s">
        <v>31</v>
      </c>
      <c r="B125" t="s">
        <v>40</v>
      </c>
      <c r="C125" s="1">
        <v>45413</v>
      </c>
      <c r="D125">
        <v>67</v>
      </c>
      <c r="E125">
        <v>15</v>
      </c>
      <c r="F125">
        <v>499.68</v>
      </c>
      <c r="G125">
        <v>0</v>
      </c>
      <c r="H125" s="2">
        <v>0</v>
      </c>
      <c r="I125">
        <v>1287.1300000000001</v>
      </c>
      <c r="J125">
        <v>3</v>
      </c>
      <c r="K125" s="2">
        <v>1E-3</v>
      </c>
    </row>
    <row r="126" spans="1:11">
      <c r="A126" t="s">
        <v>32</v>
      </c>
      <c r="B126" t="s">
        <v>40</v>
      </c>
      <c r="C126" s="1">
        <v>45413</v>
      </c>
      <c r="D126">
        <v>19</v>
      </c>
      <c r="E126">
        <v>13</v>
      </c>
      <c r="F126">
        <v>316.23</v>
      </c>
      <c r="G126">
        <v>1</v>
      </c>
      <c r="H126" s="2">
        <v>7.6923076923076927E-2</v>
      </c>
      <c r="I126">
        <v>1598.49</v>
      </c>
      <c r="J126">
        <v>2</v>
      </c>
      <c r="K126" s="2">
        <v>5.8299999999999998E-2</v>
      </c>
    </row>
    <row r="127" spans="1:11">
      <c r="A127" t="s">
        <v>33</v>
      </c>
      <c r="B127" t="s">
        <v>40</v>
      </c>
      <c r="C127" s="1">
        <v>45413</v>
      </c>
      <c r="D127">
        <v>105</v>
      </c>
      <c r="E127">
        <v>6</v>
      </c>
      <c r="F127">
        <v>567.03</v>
      </c>
      <c r="G127">
        <v>1</v>
      </c>
      <c r="H127" s="2">
        <v>0.16666666666666666</v>
      </c>
      <c r="I127">
        <v>3496.65</v>
      </c>
      <c r="J127">
        <v>1</v>
      </c>
      <c r="K127" s="2">
        <v>3.0600000000000002E-2</v>
      </c>
    </row>
    <row r="128" spans="1:11">
      <c r="A128" t="s">
        <v>34</v>
      </c>
      <c r="B128" t="s">
        <v>40</v>
      </c>
      <c r="C128" s="1">
        <v>45413</v>
      </c>
      <c r="D128">
        <v>73</v>
      </c>
      <c r="E128">
        <v>8</v>
      </c>
      <c r="F128">
        <v>175.52</v>
      </c>
      <c r="G128">
        <v>7</v>
      </c>
      <c r="H128" s="2">
        <v>0.875</v>
      </c>
      <c r="I128">
        <v>455.32</v>
      </c>
      <c r="J128">
        <v>3</v>
      </c>
      <c r="K128" s="2">
        <v>9.35E-2</v>
      </c>
    </row>
    <row r="129" spans="1:11">
      <c r="A129" t="s">
        <v>35</v>
      </c>
      <c r="B129" t="s">
        <v>40</v>
      </c>
      <c r="C129" s="1">
        <v>45413</v>
      </c>
      <c r="D129">
        <v>111</v>
      </c>
      <c r="E129">
        <v>13</v>
      </c>
      <c r="F129">
        <v>358.31</v>
      </c>
      <c r="G129">
        <v>0</v>
      </c>
      <c r="H129" s="2">
        <v>0</v>
      </c>
      <c r="I129">
        <v>2811.77</v>
      </c>
      <c r="J129">
        <v>2</v>
      </c>
      <c r="K129" s="2">
        <v>2.7099999999999999E-2</v>
      </c>
    </row>
    <row r="130" spans="1:11">
      <c r="A130" t="s">
        <v>37</v>
      </c>
      <c r="B130" t="s">
        <v>40</v>
      </c>
      <c r="C130" s="1">
        <v>45413</v>
      </c>
      <c r="D130">
        <v>38</v>
      </c>
      <c r="E130">
        <v>12</v>
      </c>
      <c r="F130">
        <v>556.33000000000004</v>
      </c>
      <c r="G130">
        <v>4</v>
      </c>
      <c r="H130" s="2">
        <v>0.33333333333333331</v>
      </c>
      <c r="I130">
        <v>241.08</v>
      </c>
      <c r="J130">
        <v>1</v>
      </c>
      <c r="K130" s="2">
        <v>7.0599999999999996E-2</v>
      </c>
    </row>
    <row r="131" spans="1:11">
      <c r="A131" t="s">
        <v>38</v>
      </c>
      <c r="B131" t="s">
        <v>40</v>
      </c>
      <c r="C131" s="1">
        <v>45413</v>
      </c>
      <c r="D131">
        <v>33</v>
      </c>
      <c r="E131">
        <v>17</v>
      </c>
      <c r="F131">
        <v>371.65</v>
      </c>
      <c r="G131">
        <v>9</v>
      </c>
      <c r="H131" s="2">
        <v>0.52941176470588236</v>
      </c>
      <c r="I131">
        <v>4068.75</v>
      </c>
      <c r="J131">
        <v>3</v>
      </c>
      <c r="K131" s="2">
        <v>8.5500000000000007E-2</v>
      </c>
    </row>
    <row r="132" spans="1:11">
      <c r="A132" t="s">
        <v>11</v>
      </c>
      <c r="B132" t="s">
        <v>40</v>
      </c>
      <c r="C132" s="1">
        <v>45444</v>
      </c>
      <c r="D132">
        <v>59</v>
      </c>
      <c r="E132">
        <v>16</v>
      </c>
      <c r="F132">
        <v>359.47</v>
      </c>
      <c r="G132">
        <v>7</v>
      </c>
      <c r="H132" s="2">
        <v>0.4375</v>
      </c>
      <c r="I132">
        <v>3958.94</v>
      </c>
      <c r="J132">
        <v>2</v>
      </c>
      <c r="K132" s="2">
        <v>2.46E-2</v>
      </c>
    </row>
    <row r="133" spans="1:11">
      <c r="A133" t="s">
        <v>13</v>
      </c>
      <c r="B133" t="s">
        <v>40</v>
      </c>
      <c r="C133" s="1">
        <v>45444</v>
      </c>
      <c r="D133">
        <v>71</v>
      </c>
      <c r="E133">
        <v>11</v>
      </c>
      <c r="F133">
        <v>379.33</v>
      </c>
      <c r="G133">
        <v>4</v>
      </c>
      <c r="H133" s="2">
        <v>0.36363636363636365</v>
      </c>
      <c r="I133">
        <v>4003.52</v>
      </c>
      <c r="J133">
        <v>1</v>
      </c>
      <c r="K133" s="2">
        <v>4.2900000000000001E-2</v>
      </c>
    </row>
    <row r="134" spans="1:11">
      <c r="A134" t="s">
        <v>14</v>
      </c>
      <c r="B134" t="s">
        <v>40</v>
      </c>
      <c r="C134" s="1">
        <v>45444</v>
      </c>
      <c r="D134">
        <v>48</v>
      </c>
      <c r="E134">
        <v>14</v>
      </c>
      <c r="F134">
        <v>383.94</v>
      </c>
      <c r="G134">
        <v>3</v>
      </c>
      <c r="H134" s="2">
        <v>0.21428571428571427</v>
      </c>
      <c r="I134">
        <v>3173.36</v>
      </c>
      <c r="J134">
        <v>3</v>
      </c>
      <c r="K134" s="2">
        <v>4.0999999999999995E-2</v>
      </c>
    </row>
    <row r="135" spans="1:11">
      <c r="A135" t="s">
        <v>15</v>
      </c>
      <c r="B135" t="s">
        <v>40</v>
      </c>
      <c r="C135" s="1">
        <v>45444</v>
      </c>
      <c r="D135">
        <v>18</v>
      </c>
      <c r="E135">
        <v>7</v>
      </c>
      <c r="F135">
        <v>85.32</v>
      </c>
      <c r="G135">
        <v>3</v>
      </c>
      <c r="H135" s="2">
        <v>0.42857142857142855</v>
      </c>
      <c r="I135">
        <v>1431.69</v>
      </c>
      <c r="J135">
        <v>2</v>
      </c>
      <c r="K135" s="2">
        <v>3.1600000000000003E-2</v>
      </c>
    </row>
    <row r="136" spans="1:11">
      <c r="A136" t="s">
        <v>16</v>
      </c>
      <c r="B136" t="s">
        <v>40</v>
      </c>
      <c r="C136" s="1">
        <v>45444</v>
      </c>
      <c r="D136">
        <v>93</v>
      </c>
      <c r="E136">
        <v>14</v>
      </c>
      <c r="F136">
        <v>466.81</v>
      </c>
      <c r="G136">
        <v>5</v>
      </c>
      <c r="H136" s="2">
        <v>0.35714285714285715</v>
      </c>
      <c r="I136">
        <v>988.98</v>
      </c>
      <c r="J136">
        <v>1</v>
      </c>
      <c r="K136" s="2">
        <v>4.2300000000000004E-2</v>
      </c>
    </row>
    <row r="137" spans="1:11">
      <c r="A137" t="s">
        <v>17</v>
      </c>
      <c r="B137" t="s">
        <v>41</v>
      </c>
      <c r="C137" s="1">
        <v>45444</v>
      </c>
      <c r="D137">
        <v>49</v>
      </c>
      <c r="E137">
        <v>7</v>
      </c>
      <c r="F137">
        <v>512.88</v>
      </c>
      <c r="G137">
        <v>2</v>
      </c>
      <c r="H137" s="2">
        <v>0.2857142857142857</v>
      </c>
      <c r="I137">
        <v>3545.66</v>
      </c>
      <c r="J137">
        <v>1</v>
      </c>
      <c r="K137" s="2">
        <v>1.2699999999999999E-2</v>
      </c>
    </row>
    <row r="138" spans="1:11">
      <c r="A138" t="s">
        <v>18</v>
      </c>
      <c r="B138" t="s">
        <v>41</v>
      </c>
      <c r="C138" s="1">
        <v>45444</v>
      </c>
      <c r="D138">
        <v>85</v>
      </c>
      <c r="E138">
        <v>17</v>
      </c>
      <c r="F138">
        <v>324.56</v>
      </c>
      <c r="G138">
        <v>3</v>
      </c>
      <c r="H138" s="2">
        <v>0.17647058823529413</v>
      </c>
      <c r="I138">
        <v>2420.5300000000002</v>
      </c>
      <c r="J138">
        <v>3</v>
      </c>
      <c r="K138" s="2">
        <v>8.929999999999999E-2</v>
      </c>
    </row>
    <row r="139" spans="1:11">
      <c r="A139" t="s">
        <v>19</v>
      </c>
      <c r="B139" t="s">
        <v>41</v>
      </c>
      <c r="C139" s="1">
        <v>45444</v>
      </c>
      <c r="D139">
        <v>61</v>
      </c>
      <c r="E139">
        <v>7</v>
      </c>
      <c r="F139">
        <v>219.53</v>
      </c>
      <c r="G139">
        <v>7</v>
      </c>
      <c r="H139" s="2">
        <v>1</v>
      </c>
      <c r="I139">
        <v>3860.12</v>
      </c>
      <c r="J139">
        <v>2</v>
      </c>
      <c r="K139" s="2">
        <v>4.3499999999999997E-2</v>
      </c>
    </row>
    <row r="140" spans="1:11">
      <c r="A140" t="s">
        <v>20</v>
      </c>
      <c r="B140" t="s">
        <v>41</v>
      </c>
      <c r="C140" s="1">
        <v>45444</v>
      </c>
      <c r="D140">
        <v>30</v>
      </c>
      <c r="E140">
        <v>16</v>
      </c>
      <c r="F140">
        <v>353.65</v>
      </c>
      <c r="G140">
        <v>9</v>
      </c>
      <c r="H140" s="2">
        <v>0.5625</v>
      </c>
      <c r="I140">
        <v>1213.5899999999999</v>
      </c>
      <c r="J140">
        <v>1</v>
      </c>
      <c r="K140" s="2">
        <v>6.2E-2</v>
      </c>
    </row>
    <row r="141" spans="1:11">
      <c r="A141" t="s">
        <v>21</v>
      </c>
      <c r="B141" t="s">
        <v>41</v>
      </c>
      <c r="C141" s="1">
        <v>45444</v>
      </c>
      <c r="D141">
        <v>54</v>
      </c>
      <c r="E141">
        <v>16</v>
      </c>
      <c r="F141">
        <v>334.41</v>
      </c>
      <c r="G141">
        <v>9</v>
      </c>
      <c r="H141" s="2">
        <v>0.5625</v>
      </c>
      <c r="I141">
        <v>1056.98</v>
      </c>
      <c r="J141">
        <v>3</v>
      </c>
      <c r="K141" s="2">
        <v>3.5200000000000002E-2</v>
      </c>
    </row>
    <row r="142" spans="1:11">
      <c r="A142" t="s">
        <v>22</v>
      </c>
      <c r="B142" t="s">
        <v>41</v>
      </c>
      <c r="C142" s="1">
        <v>45444</v>
      </c>
      <c r="D142">
        <v>19</v>
      </c>
      <c r="E142">
        <v>7</v>
      </c>
      <c r="F142">
        <v>199.46</v>
      </c>
      <c r="G142">
        <v>7</v>
      </c>
      <c r="H142" s="2">
        <v>1</v>
      </c>
      <c r="I142">
        <v>809.56</v>
      </c>
      <c r="J142">
        <v>2</v>
      </c>
      <c r="K142" s="2">
        <v>7.1399999999999991E-2</v>
      </c>
    </row>
    <row r="143" spans="1:11">
      <c r="A143" t="s">
        <v>23</v>
      </c>
      <c r="B143" t="s">
        <v>41</v>
      </c>
      <c r="C143" s="1">
        <v>45444</v>
      </c>
      <c r="D143">
        <v>40</v>
      </c>
      <c r="E143">
        <v>6</v>
      </c>
      <c r="F143">
        <v>509.67</v>
      </c>
      <c r="G143">
        <v>4</v>
      </c>
      <c r="H143" s="2">
        <v>0.66666666666666663</v>
      </c>
      <c r="I143">
        <v>3330.44</v>
      </c>
      <c r="J143">
        <v>1</v>
      </c>
      <c r="K143" s="2">
        <v>3.8300000000000001E-2</v>
      </c>
    </row>
    <row r="144" spans="1:11">
      <c r="A144" t="s">
        <v>24</v>
      </c>
      <c r="B144" t="s">
        <v>41</v>
      </c>
      <c r="C144" s="1">
        <v>45444</v>
      </c>
      <c r="D144">
        <v>73</v>
      </c>
      <c r="E144">
        <v>21</v>
      </c>
      <c r="F144">
        <v>601.02</v>
      </c>
      <c r="G144">
        <v>2</v>
      </c>
      <c r="H144" s="2">
        <v>9.5238095238095233E-2</v>
      </c>
      <c r="I144">
        <v>364.56</v>
      </c>
      <c r="J144">
        <v>3</v>
      </c>
      <c r="K144" s="2">
        <v>3.4300000000000004E-2</v>
      </c>
    </row>
    <row r="145" spans="1:11">
      <c r="A145" t="s">
        <v>25</v>
      </c>
      <c r="B145" t="s">
        <v>41</v>
      </c>
      <c r="C145" s="1">
        <v>45444</v>
      </c>
      <c r="D145">
        <v>36</v>
      </c>
      <c r="E145">
        <v>9</v>
      </c>
      <c r="F145">
        <v>196.74</v>
      </c>
      <c r="G145">
        <v>1</v>
      </c>
      <c r="H145" s="2">
        <v>0.1111111111111111</v>
      </c>
      <c r="I145">
        <v>3760.57</v>
      </c>
      <c r="J145">
        <v>2</v>
      </c>
      <c r="K145" s="2">
        <v>3.9800000000000002E-2</v>
      </c>
    </row>
    <row r="146" spans="1:11">
      <c r="A146" t="s">
        <v>26</v>
      </c>
      <c r="B146" t="s">
        <v>41</v>
      </c>
      <c r="C146" s="1">
        <v>45444</v>
      </c>
      <c r="D146">
        <v>58</v>
      </c>
      <c r="E146">
        <v>8</v>
      </c>
      <c r="F146">
        <v>196.58</v>
      </c>
      <c r="G146">
        <v>3</v>
      </c>
      <c r="H146" s="2">
        <v>0.375</v>
      </c>
      <c r="I146">
        <v>692.47</v>
      </c>
      <c r="J146">
        <v>1</v>
      </c>
      <c r="K146" s="2">
        <v>3.27E-2</v>
      </c>
    </row>
    <row r="147" spans="1:11">
      <c r="A147" t="s">
        <v>27</v>
      </c>
      <c r="B147" t="s">
        <v>41</v>
      </c>
      <c r="C147" s="1">
        <v>45444</v>
      </c>
      <c r="D147">
        <v>100</v>
      </c>
      <c r="E147">
        <v>5</v>
      </c>
      <c r="F147">
        <v>153.87</v>
      </c>
      <c r="G147">
        <v>2</v>
      </c>
      <c r="H147" s="2">
        <v>0.4</v>
      </c>
      <c r="I147">
        <v>1190.24</v>
      </c>
      <c r="J147">
        <v>3</v>
      </c>
      <c r="K147" s="2">
        <v>8.0600000000000005E-2</v>
      </c>
    </row>
    <row r="148" spans="1:11">
      <c r="A148" t="s">
        <v>28</v>
      </c>
      <c r="B148" t="s">
        <v>41</v>
      </c>
      <c r="C148" s="1">
        <v>45444</v>
      </c>
      <c r="D148">
        <v>93</v>
      </c>
      <c r="E148">
        <v>5</v>
      </c>
      <c r="F148">
        <v>85.65</v>
      </c>
      <c r="G148">
        <v>5</v>
      </c>
      <c r="H148" s="2">
        <v>1</v>
      </c>
      <c r="I148">
        <v>3913.17</v>
      </c>
      <c r="J148">
        <v>2</v>
      </c>
      <c r="K148" s="2">
        <v>9.5700000000000007E-2</v>
      </c>
    </row>
    <row r="149" spans="1:11">
      <c r="A149" t="s">
        <v>29</v>
      </c>
      <c r="B149" t="s">
        <v>41</v>
      </c>
      <c r="C149" s="1">
        <v>45444</v>
      </c>
      <c r="D149">
        <v>28</v>
      </c>
      <c r="E149">
        <v>16</v>
      </c>
      <c r="F149">
        <v>506.95</v>
      </c>
      <c r="G149">
        <v>6</v>
      </c>
      <c r="H149" s="2">
        <v>0.375</v>
      </c>
      <c r="I149">
        <v>3993.03</v>
      </c>
      <c r="J149">
        <v>3</v>
      </c>
      <c r="K149" s="2">
        <v>3.0600000000000002E-2</v>
      </c>
    </row>
    <row r="150" spans="1:11">
      <c r="A150" t="s">
        <v>30</v>
      </c>
      <c r="B150" t="s">
        <v>41</v>
      </c>
      <c r="C150" s="1">
        <v>45444</v>
      </c>
      <c r="D150">
        <v>88</v>
      </c>
      <c r="E150">
        <v>18</v>
      </c>
      <c r="F150">
        <v>181.21</v>
      </c>
      <c r="G150">
        <v>4</v>
      </c>
      <c r="H150" s="2">
        <v>0.22222222222222221</v>
      </c>
      <c r="I150">
        <v>377.13</v>
      </c>
      <c r="J150">
        <v>2</v>
      </c>
      <c r="K150" s="2">
        <v>0.10009999999999999</v>
      </c>
    </row>
    <row r="151" spans="1:11">
      <c r="A151" t="s">
        <v>31</v>
      </c>
      <c r="B151" t="s">
        <v>41</v>
      </c>
      <c r="C151" s="1">
        <v>45444</v>
      </c>
      <c r="D151">
        <v>69</v>
      </c>
      <c r="E151">
        <v>16</v>
      </c>
      <c r="F151">
        <v>495.32</v>
      </c>
      <c r="G151">
        <v>0</v>
      </c>
      <c r="H151" s="2">
        <v>0</v>
      </c>
      <c r="I151">
        <v>1262.99</v>
      </c>
      <c r="J151">
        <v>1</v>
      </c>
      <c r="K151" s="2">
        <v>1E-3</v>
      </c>
    </row>
    <row r="152" spans="1:11">
      <c r="A152" t="s">
        <v>32</v>
      </c>
      <c r="B152" t="s">
        <v>41</v>
      </c>
      <c r="C152" s="1">
        <v>45444</v>
      </c>
      <c r="D152">
        <v>21</v>
      </c>
      <c r="E152">
        <v>16</v>
      </c>
      <c r="F152">
        <v>315.91000000000003</v>
      </c>
      <c r="G152">
        <v>1</v>
      </c>
      <c r="H152" s="2">
        <v>6.25E-2</v>
      </c>
      <c r="I152">
        <v>1455.83</v>
      </c>
      <c r="J152">
        <v>3</v>
      </c>
      <c r="K152" s="2">
        <v>5.1299999999999998E-2</v>
      </c>
    </row>
    <row r="153" spans="1:11">
      <c r="A153" t="s">
        <v>33</v>
      </c>
      <c r="B153" t="s">
        <v>41</v>
      </c>
      <c r="C153" s="1">
        <v>45444</v>
      </c>
      <c r="D153">
        <v>92</v>
      </c>
      <c r="E153">
        <v>5</v>
      </c>
      <c r="F153">
        <v>569.75</v>
      </c>
      <c r="G153">
        <v>2</v>
      </c>
      <c r="H153" s="2">
        <v>0.4</v>
      </c>
      <c r="I153">
        <v>3734.43</v>
      </c>
      <c r="J153">
        <v>2</v>
      </c>
      <c r="K153" s="2">
        <v>2.76E-2</v>
      </c>
    </row>
    <row r="154" spans="1:11">
      <c r="A154" t="s">
        <v>34</v>
      </c>
      <c r="B154" t="s">
        <v>41</v>
      </c>
      <c r="C154" s="1">
        <v>45444</v>
      </c>
      <c r="D154">
        <v>58</v>
      </c>
      <c r="E154">
        <v>7</v>
      </c>
      <c r="F154">
        <v>173.24</v>
      </c>
      <c r="G154">
        <v>7</v>
      </c>
      <c r="H154" s="2">
        <v>1</v>
      </c>
      <c r="I154">
        <v>525.73</v>
      </c>
      <c r="J154">
        <v>1</v>
      </c>
      <c r="K154" s="2">
        <v>8.2299999999999998E-2</v>
      </c>
    </row>
    <row r="155" spans="1:11">
      <c r="A155" t="s">
        <v>35</v>
      </c>
      <c r="B155" t="s">
        <v>41</v>
      </c>
      <c r="C155" s="1">
        <v>45444</v>
      </c>
      <c r="D155">
        <v>114</v>
      </c>
      <c r="E155">
        <v>13</v>
      </c>
      <c r="F155">
        <v>364.35</v>
      </c>
      <c r="G155">
        <v>0</v>
      </c>
      <c r="H155" s="2">
        <v>0</v>
      </c>
      <c r="I155">
        <v>2988.28</v>
      </c>
      <c r="J155">
        <v>3</v>
      </c>
      <c r="K155" s="2">
        <v>2.58E-2</v>
      </c>
    </row>
    <row r="156" spans="1:11">
      <c r="A156" t="s">
        <v>37</v>
      </c>
      <c r="B156" t="s">
        <v>41</v>
      </c>
      <c r="C156" s="1">
        <v>45444</v>
      </c>
      <c r="D156">
        <v>35</v>
      </c>
      <c r="E156">
        <v>12</v>
      </c>
      <c r="F156">
        <v>515.24</v>
      </c>
      <c r="G156">
        <v>5</v>
      </c>
      <c r="H156" s="2">
        <v>0.41666666666666669</v>
      </c>
      <c r="I156">
        <v>224.24</v>
      </c>
      <c r="J156">
        <v>2</v>
      </c>
      <c r="K156" s="2">
        <v>6.9800000000000001E-2</v>
      </c>
    </row>
    <row r="157" spans="1:11">
      <c r="A157" t="s">
        <v>38</v>
      </c>
      <c r="B157" t="s">
        <v>41</v>
      </c>
      <c r="C157" s="1">
        <v>45444</v>
      </c>
      <c r="D157">
        <v>35</v>
      </c>
      <c r="E157">
        <v>16</v>
      </c>
      <c r="F157">
        <v>351.71</v>
      </c>
      <c r="G157">
        <v>9</v>
      </c>
      <c r="H157" s="2">
        <v>0.5625</v>
      </c>
      <c r="I157">
        <v>3984.69</v>
      </c>
      <c r="J157">
        <v>1</v>
      </c>
      <c r="K157" s="2">
        <v>7.4099999999999999E-2</v>
      </c>
    </row>
    <row r="158" spans="1:11">
      <c r="A158" t="s">
        <v>11</v>
      </c>
      <c r="B158" t="s">
        <v>41</v>
      </c>
      <c r="C158" s="1">
        <v>45474</v>
      </c>
      <c r="D158">
        <v>71</v>
      </c>
      <c r="E158">
        <v>17</v>
      </c>
      <c r="F158">
        <v>360.1</v>
      </c>
      <c r="G158">
        <v>6</v>
      </c>
      <c r="H158" s="2">
        <v>0.35294117647058826</v>
      </c>
      <c r="I158">
        <v>4444.83</v>
      </c>
      <c r="J158">
        <v>3</v>
      </c>
      <c r="K158" s="2">
        <v>2.9500000000000002E-2</v>
      </c>
    </row>
    <row r="159" spans="1:11">
      <c r="A159" t="s">
        <v>13</v>
      </c>
      <c r="B159" t="s">
        <v>41</v>
      </c>
      <c r="C159" s="1">
        <v>45474</v>
      </c>
      <c r="D159">
        <v>62</v>
      </c>
      <c r="E159">
        <v>13</v>
      </c>
      <c r="F159">
        <v>364.64</v>
      </c>
      <c r="G159">
        <v>4</v>
      </c>
      <c r="H159" s="2">
        <v>0.30769230769230771</v>
      </c>
      <c r="I159">
        <v>3704.33</v>
      </c>
      <c r="J159">
        <v>2</v>
      </c>
      <c r="K159" s="2">
        <v>3.7499999999999999E-2</v>
      </c>
    </row>
    <row r="160" spans="1:11">
      <c r="A160" t="s">
        <v>14</v>
      </c>
      <c r="B160" t="s">
        <v>41</v>
      </c>
      <c r="C160" s="1">
        <v>45474</v>
      </c>
      <c r="D160">
        <v>53</v>
      </c>
      <c r="E160">
        <v>14</v>
      </c>
      <c r="F160">
        <v>367.56</v>
      </c>
      <c r="G160">
        <v>2</v>
      </c>
      <c r="H160" s="2">
        <v>0.14285714285714285</v>
      </c>
      <c r="I160">
        <v>3514.07</v>
      </c>
      <c r="J160">
        <v>1</v>
      </c>
      <c r="K160" s="2">
        <v>4.0099999999999997E-2</v>
      </c>
    </row>
    <row r="161" spans="1:11">
      <c r="A161" t="s">
        <v>15</v>
      </c>
      <c r="B161" t="s">
        <v>41</v>
      </c>
      <c r="C161" s="1">
        <v>45474</v>
      </c>
      <c r="D161">
        <v>18</v>
      </c>
      <c r="E161">
        <v>6</v>
      </c>
      <c r="F161">
        <v>76.27</v>
      </c>
      <c r="G161">
        <v>4</v>
      </c>
      <c r="H161" s="2">
        <v>0.66666666666666663</v>
      </c>
      <c r="I161">
        <v>1597.98</v>
      </c>
      <c r="J161">
        <v>1</v>
      </c>
      <c r="K161" s="2">
        <v>2.81E-2</v>
      </c>
    </row>
    <row r="162" spans="1:11">
      <c r="A162" t="s">
        <v>16</v>
      </c>
      <c r="B162" t="s">
        <v>41</v>
      </c>
      <c r="C162" s="1">
        <v>45474</v>
      </c>
      <c r="D162">
        <v>71</v>
      </c>
      <c r="E162">
        <v>12</v>
      </c>
      <c r="F162">
        <v>487.04</v>
      </c>
      <c r="G162">
        <v>5</v>
      </c>
      <c r="H162" s="2">
        <v>0.41666666666666669</v>
      </c>
      <c r="I162">
        <v>1004.9</v>
      </c>
      <c r="J162">
        <v>3</v>
      </c>
      <c r="K162" s="2">
        <v>4.2099999999999999E-2</v>
      </c>
    </row>
    <row r="163" spans="1:11">
      <c r="A163" t="s">
        <v>17</v>
      </c>
      <c r="B163" t="s">
        <v>41</v>
      </c>
      <c r="C163" s="1">
        <v>45474</v>
      </c>
      <c r="D163">
        <v>70</v>
      </c>
      <c r="E163">
        <v>5</v>
      </c>
      <c r="F163">
        <v>491.31</v>
      </c>
      <c r="G163">
        <v>3</v>
      </c>
      <c r="H163" s="2">
        <v>0.6</v>
      </c>
      <c r="I163">
        <v>3289.06</v>
      </c>
      <c r="J163">
        <v>2</v>
      </c>
      <c r="K163" s="2">
        <v>1.1299999999999999E-2</v>
      </c>
    </row>
    <row r="164" spans="1:11">
      <c r="A164" t="s">
        <v>18</v>
      </c>
      <c r="B164" t="s">
        <v>41</v>
      </c>
      <c r="C164" s="1">
        <v>45474</v>
      </c>
      <c r="D164">
        <v>77</v>
      </c>
      <c r="E164">
        <v>15</v>
      </c>
      <c r="F164">
        <v>282.58999999999997</v>
      </c>
      <c r="G164">
        <v>2</v>
      </c>
      <c r="H164" s="2">
        <v>0.13333333333333333</v>
      </c>
      <c r="I164">
        <v>2296.14</v>
      </c>
      <c r="J164">
        <v>1</v>
      </c>
      <c r="K164" s="2">
        <v>9.5799999999999996E-2</v>
      </c>
    </row>
    <row r="165" spans="1:11">
      <c r="A165" t="s">
        <v>19</v>
      </c>
      <c r="B165" t="s">
        <v>41</v>
      </c>
      <c r="C165" s="1">
        <v>45474</v>
      </c>
      <c r="D165">
        <v>50</v>
      </c>
      <c r="E165">
        <v>9</v>
      </c>
      <c r="F165">
        <v>246.06</v>
      </c>
      <c r="G165">
        <v>5</v>
      </c>
      <c r="H165" s="2">
        <v>0.55555555555555558</v>
      </c>
      <c r="I165">
        <v>4227.22</v>
      </c>
      <c r="J165">
        <v>3</v>
      </c>
      <c r="K165" s="2">
        <v>3.7200000000000004E-2</v>
      </c>
    </row>
    <row r="166" spans="1:11">
      <c r="A166" t="s">
        <v>20</v>
      </c>
      <c r="B166" t="s">
        <v>41</v>
      </c>
      <c r="C166" s="1">
        <v>45474</v>
      </c>
      <c r="D166">
        <v>31</v>
      </c>
      <c r="E166">
        <v>15</v>
      </c>
      <c r="F166">
        <v>347.38</v>
      </c>
      <c r="G166">
        <v>10</v>
      </c>
      <c r="H166" s="2">
        <v>0.66666666666666663</v>
      </c>
      <c r="I166">
        <v>1101.06</v>
      </c>
      <c r="J166">
        <v>2</v>
      </c>
      <c r="K166" s="2">
        <v>6.0100000000000001E-2</v>
      </c>
    </row>
    <row r="167" spans="1:11">
      <c r="A167" t="s">
        <v>21</v>
      </c>
      <c r="B167" t="s">
        <v>41</v>
      </c>
      <c r="C167" s="1">
        <v>45474</v>
      </c>
      <c r="D167">
        <v>77</v>
      </c>
      <c r="E167">
        <v>16</v>
      </c>
      <c r="F167">
        <v>335.59</v>
      </c>
      <c r="G167">
        <v>7</v>
      </c>
      <c r="H167" s="2">
        <v>0.4375</v>
      </c>
      <c r="I167">
        <v>1087.4100000000001</v>
      </c>
      <c r="J167">
        <v>1</v>
      </c>
      <c r="K167" s="2">
        <v>3.6900000000000002E-2</v>
      </c>
    </row>
    <row r="168" spans="1:11">
      <c r="A168" t="s">
        <v>22</v>
      </c>
      <c r="B168" t="s">
        <v>41</v>
      </c>
      <c r="C168" s="1">
        <v>45474</v>
      </c>
      <c r="D168">
        <v>17</v>
      </c>
      <c r="E168">
        <v>8</v>
      </c>
      <c r="F168">
        <v>208.21</v>
      </c>
      <c r="G168">
        <v>4</v>
      </c>
      <c r="H168" s="2">
        <v>0.5</v>
      </c>
      <c r="I168">
        <v>828.73</v>
      </c>
      <c r="J168">
        <v>3</v>
      </c>
      <c r="K168" s="2">
        <v>7.4200000000000002E-2</v>
      </c>
    </row>
    <row r="169" spans="1:11">
      <c r="A169" t="s">
        <v>23</v>
      </c>
      <c r="B169" t="s">
        <v>41</v>
      </c>
      <c r="C169" s="1">
        <v>45474</v>
      </c>
      <c r="D169">
        <v>32</v>
      </c>
      <c r="E169">
        <v>6</v>
      </c>
      <c r="F169">
        <v>553.58000000000004</v>
      </c>
      <c r="G169">
        <v>3</v>
      </c>
      <c r="H169" s="2">
        <v>0.5</v>
      </c>
      <c r="I169">
        <v>3939.56</v>
      </c>
      <c r="J169">
        <v>2</v>
      </c>
      <c r="K169" s="2">
        <v>3.78E-2</v>
      </c>
    </row>
    <row r="170" spans="1:11">
      <c r="A170" t="s">
        <v>24</v>
      </c>
      <c r="B170" t="s">
        <v>41</v>
      </c>
      <c r="C170" s="1">
        <v>45474</v>
      </c>
      <c r="D170">
        <v>72</v>
      </c>
      <c r="E170">
        <v>21</v>
      </c>
      <c r="F170">
        <v>604.57000000000005</v>
      </c>
      <c r="G170">
        <v>2</v>
      </c>
      <c r="H170" s="2">
        <v>9.5238095238095233E-2</v>
      </c>
      <c r="I170">
        <v>327.82</v>
      </c>
      <c r="J170">
        <v>1</v>
      </c>
      <c r="K170" s="2">
        <v>3.6699999999999997E-2</v>
      </c>
    </row>
    <row r="171" spans="1:11">
      <c r="A171" t="s">
        <v>25</v>
      </c>
      <c r="B171" t="s">
        <v>41</v>
      </c>
      <c r="C171" s="1">
        <v>45474</v>
      </c>
      <c r="D171">
        <v>34</v>
      </c>
      <c r="E171">
        <v>7</v>
      </c>
      <c r="F171">
        <v>199.39</v>
      </c>
      <c r="G171">
        <v>1</v>
      </c>
      <c r="H171" s="2">
        <v>0.14285714285714285</v>
      </c>
      <c r="I171">
        <v>3767.74</v>
      </c>
      <c r="J171">
        <v>3</v>
      </c>
      <c r="K171" s="2">
        <v>3.85E-2</v>
      </c>
    </row>
    <row r="172" spans="1:11">
      <c r="A172" t="s">
        <v>26</v>
      </c>
      <c r="B172" t="s">
        <v>41</v>
      </c>
      <c r="C172" s="1">
        <v>45474</v>
      </c>
      <c r="D172">
        <v>71</v>
      </c>
      <c r="E172">
        <v>9</v>
      </c>
      <c r="F172">
        <v>220.4</v>
      </c>
      <c r="G172">
        <v>2</v>
      </c>
      <c r="H172" s="2">
        <v>0.22222222222222221</v>
      </c>
      <c r="I172">
        <v>692.29</v>
      </c>
      <c r="J172">
        <v>2</v>
      </c>
      <c r="K172" s="2">
        <v>2.8999999999999998E-2</v>
      </c>
    </row>
    <row r="173" spans="1:11">
      <c r="A173" t="s">
        <v>27</v>
      </c>
      <c r="B173" t="s">
        <v>41</v>
      </c>
      <c r="C173" s="1">
        <v>45474</v>
      </c>
      <c r="D173">
        <v>83</v>
      </c>
      <c r="E173">
        <v>5</v>
      </c>
      <c r="F173">
        <v>166.85</v>
      </c>
      <c r="G173">
        <v>4</v>
      </c>
      <c r="H173" s="2">
        <v>0.8</v>
      </c>
      <c r="I173">
        <v>1364.24</v>
      </c>
      <c r="J173">
        <v>1</v>
      </c>
      <c r="K173" s="2">
        <v>8.3100000000000007E-2</v>
      </c>
    </row>
    <row r="174" spans="1:11">
      <c r="A174" t="s">
        <v>28</v>
      </c>
      <c r="B174" t="s">
        <v>41</v>
      </c>
      <c r="C174" s="1">
        <v>45474</v>
      </c>
      <c r="D174">
        <v>71</v>
      </c>
      <c r="E174">
        <v>7</v>
      </c>
      <c r="F174">
        <v>78.53</v>
      </c>
      <c r="G174">
        <v>4</v>
      </c>
      <c r="H174" s="2">
        <v>0.5714285714285714</v>
      </c>
      <c r="I174">
        <v>3652.64</v>
      </c>
      <c r="J174">
        <v>3</v>
      </c>
      <c r="K174" s="2">
        <v>8.6999999999999994E-2</v>
      </c>
    </row>
    <row r="175" spans="1:11">
      <c r="A175" t="s">
        <v>29</v>
      </c>
      <c r="B175" t="s">
        <v>41</v>
      </c>
      <c r="C175" s="1">
        <v>45474</v>
      </c>
      <c r="D175">
        <v>24</v>
      </c>
      <c r="E175">
        <v>13</v>
      </c>
      <c r="F175">
        <v>471.72</v>
      </c>
      <c r="G175">
        <v>7</v>
      </c>
      <c r="H175" s="2">
        <v>0.53846153846153844</v>
      </c>
      <c r="I175">
        <v>3588.89</v>
      </c>
      <c r="J175">
        <v>2</v>
      </c>
      <c r="K175" s="2">
        <v>3.5400000000000001E-2</v>
      </c>
    </row>
    <row r="176" spans="1:11">
      <c r="A176" t="s">
        <v>30</v>
      </c>
      <c r="B176" t="s">
        <v>41</v>
      </c>
      <c r="C176" s="1">
        <v>45474</v>
      </c>
      <c r="D176">
        <v>75</v>
      </c>
      <c r="E176">
        <v>17</v>
      </c>
      <c r="F176">
        <v>176.07</v>
      </c>
      <c r="G176">
        <v>5</v>
      </c>
      <c r="H176" s="2">
        <v>0.29411764705882354</v>
      </c>
      <c r="I176">
        <v>458.18</v>
      </c>
      <c r="J176">
        <v>1</v>
      </c>
      <c r="K176" s="2">
        <v>9.9399999999999988E-2</v>
      </c>
    </row>
    <row r="177" spans="1:11">
      <c r="A177" t="s">
        <v>31</v>
      </c>
      <c r="B177" t="s">
        <v>41</v>
      </c>
      <c r="C177" s="1">
        <v>45474</v>
      </c>
      <c r="D177">
        <v>76</v>
      </c>
      <c r="E177">
        <v>11</v>
      </c>
      <c r="F177">
        <v>486.93</v>
      </c>
      <c r="G177">
        <v>0</v>
      </c>
      <c r="H177" s="2">
        <v>0</v>
      </c>
      <c r="I177">
        <v>1219.29</v>
      </c>
      <c r="J177">
        <v>3</v>
      </c>
      <c r="K177" s="2">
        <v>1E-3</v>
      </c>
    </row>
    <row r="178" spans="1:11">
      <c r="A178" t="s">
        <v>32</v>
      </c>
      <c r="B178" t="s">
        <v>41</v>
      </c>
      <c r="C178" s="1">
        <v>45474</v>
      </c>
      <c r="D178">
        <v>20</v>
      </c>
      <c r="E178">
        <v>14</v>
      </c>
      <c r="F178">
        <v>283.66000000000003</v>
      </c>
      <c r="G178">
        <v>2</v>
      </c>
      <c r="H178" s="2">
        <v>0.14285714285714285</v>
      </c>
      <c r="I178">
        <v>1494.14</v>
      </c>
      <c r="J178">
        <v>2</v>
      </c>
      <c r="K178" s="2">
        <v>5.7800000000000004E-2</v>
      </c>
    </row>
    <row r="179" spans="1:11">
      <c r="A179" t="s">
        <v>33</v>
      </c>
      <c r="B179" t="s">
        <v>41</v>
      </c>
      <c r="C179" s="1">
        <v>45474</v>
      </c>
      <c r="D179">
        <v>79</v>
      </c>
      <c r="E179">
        <v>6</v>
      </c>
      <c r="F179">
        <v>536.04999999999995</v>
      </c>
      <c r="G179">
        <v>1</v>
      </c>
      <c r="H179" s="2">
        <v>0.16666666666666666</v>
      </c>
      <c r="I179">
        <v>3682.29</v>
      </c>
      <c r="J179">
        <v>1</v>
      </c>
      <c r="K179" s="2">
        <v>3.2099999999999997E-2</v>
      </c>
    </row>
    <row r="180" spans="1:11">
      <c r="A180" t="s">
        <v>34</v>
      </c>
      <c r="B180" t="s">
        <v>41</v>
      </c>
      <c r="C180" s="1">
        <v>45474</v>
      </c>
      <c r="D180">
        <v>82</v>
      </c>
      <c r="E180">
        <v>9</v>
      </c>
      <c r="F180">
        <v>171.86</v>
      </c>
      <c r="G180">
        <v>7</v>
      </c>
      <c r="H180" s="2">
        <v>0.77777777777777779</v>
      </c>
      <c r="I180">
        <v>506.88</v>
      </c>
      <c r="J180">
        <v>3</v>
      </c>
      <c r="K180" s="2">
        <v>9.4100000000000003E-2</v>
      </c>
    </row>
    <row r="181" spans="1:11">
      <c r="A181" t="s">
        <v>35</v>
      </c>
      <c r="B181" t="s">
        <v>41</v>
      </c>
      <c r="C181" s="1">
        <v>45474</v>
      </c>
      <c r="D181">
        <v>103</v>
      </c>
      <c r="E181">
        <v>15</v>
      </c>
      <c r="F181">
        <v>359.16</v>
      </c>
      <c r="G181">
        <v>1</v>
      </c>
      <c r="H181" s="2">
        <v>6.6666666666666666E-2</v>
      </c>
      <c r="I181">
        <v>2949.94</v>
      </c>
      <c r="J181">
        <v>2</v>
      </c>
      <c r="K181" s="2">
        <v>2.3599999999999999E-2</v>
      </c>
    </row>
    <row r="182" spans="1:11">
      <c r="A182" t="s">
        <v>37</v>
      </c>
      <c r="B182" t="s">
        <v>41</v>
      </c>
      <c r="C182" s="1">
        <v>45474</v>
      </c>
      <c r="D182">
        <v>41</v>
      </c>
      <c r="E182">
        <v>9</v>
      </c>
      <c r="F182">
        <v>569.97</v>
      </c>
      <c r="G182">
        <v>5</v>
      </c>
      <c r="H182" s="2">
        <v>0.55555555555555558</v>
      </c>
      <c r="I182">
        <v>259.86</v>
      </c>
      <c r="J182">
        <v>1</v>
      </c>
      <c r="K182" s="2">
        <v>6.3299999999999995E-2</v>
      </c>
    </row>
    <row r="183" spans="1:11">
      <c r="A183" t="s">
        <v>38</v>
      </c>
      <c r="B183" t="s">
        <v>41</v>
      </c>
      <c r="C183" s="1">
        <v>45474</v>
      </c>
      <c r="D183">
        <v>38</v>
      </c>
      <c r="E183">
        <v>14</v>
      </c>
      <c r="F183">
        <v>359.22</v>
      </c>
      <c r="G183">
        <v>8</v>
      </c>
      <c r="H183" s="2">
        <v>0.5714285714285714</v>
      </c>
      <c r="I183">
        <v>3846.34</v>
      </c>
      <c r="J183">
        <v>3</v>
      </c>
      <c r="K183" s="2">
        <v>8.5900000000000004E-2</v>
      </c>
    </row>
    <row r="184" spans="1:11">
      <c r="A184" t="s">
        <v>11</v>
      </c>
      <c r="B184" t="s">
        <v>41</v>
      </c>
      <c r="C184" s="1">
        <v>45505</v>
      </c>
      <c r="D184">
        <v>71</v>
      </c>
      <c r="E184">
        <v>15</v>
      </c>
      <c r="F184">
        <v>297.05</v>
      </c>
      <c r="G184">
        <v>6</v>
      </c>
      <c r="H184" s="2">
        <v>0.4</v>
      </c>
      <c r="I184">
        <v>4043.62</v>
      </c>
      <c r="J184">
        <v>2</v>
      </c>
      <c r="K184" s="2">
        <v>2.7200000000000002E-2</v>
      </c>
    </row>
    <row r="185" spans="1:11">
      <c r="A185" t="s">
        <v>13</v>
      </c>
      <c r="B185" t="s">
        <v>41</v>
      </c>
      <c r="C185" s="1">
        <v>45505</v>
      </c>
      <c r="D185">
        <v>66</v>
      </c>
      <c r="E185">
        <v>13</v>
      </c>
      <c r="F185">
        <v>376.76</v>
      </c>
      <c r="G185">
        <v>5</v>
      </c>
      <c r="H185" s="2">
        <v>0.38461538461538464</v>
      </c>
      <c r="I185">
        <v>3819.73</v>
      </c>
      <c r="J185">
        <v>1</v>
      </c>
      <c r="K185" s="2">
        <v>4.4900000000000002E-2</v>
      </c>
    </row>
    <row r="186" spans="1:11">
      <c r="A186" t="s">
        <v>14</v>
      </c>
      <c r="B186" t="s">
        <v>41</v>
      </c>
      <c r="C186" s="1">
        <v>45505</v>
      </c>
      <c r="D186">
        <v>53</v>
      </c>
      <c r="E186">
        <v>15</v>
      </c>
      <c r="F186">
        <v>379.29</v>
      </c>
      <c r="G186">
        <v>2</v>
      </c>
      <c r="H186" s="2">
        <v>0.13333333333333333</v>
      </c>
      <c r="I186">
        <v>3409.69</v>
      </c>
      <c r="J186">
        <v>1</v>
      </c>
      <c r="K186" s="2">
        <v>4.41E-2</v>
      </c>
    </row>
    <row r="187" spans="1:11">
      <c r="A187" t="s">
        <v>15</v>
      </c>
      <c r="B187" t="s">
        <v>41</v>
      </c>
      <c r="C187" s="1">
        <v>45505</v>
      </c>
      <c r="D187">
        <v>18</v>
      </c>
      <c r="E187">
        <v>8</v>
      </c>
      <c r="F187">
        <v>82.91</v>
      </c>
      <c r="G187">
        <v>3</v>
      </c>
      <c r="H187" s="2">
        <v>0.375</v>
      </c>
      <c r="I187">
        <v>1387.86</v>
      </c>
      <c r="J187">
        <v>3</v>
      </c>
      <c r="K187" s="2">
        <v>3.0099999999999998E-2</v>
      </c>
    </row>
    <row r="188" spans="1:11">
      <c r="A188" t="s">
        <v>16</v>
      </c>
      <c r="B188" t="s">
        <v>41</v>
      </c>
      <c r="C188" s="1">
        <v>45505</v>
      </c>
      <c r="D188">
        <v>72</v>
      </c>
      <c r="E188">
        <v>14</v>
      </c>
      <c r="F188">
        <v>437.47</v>
      </c>
      <c r="G188">
        <v>4</v>
      </c>
      <c r="H188" s="2">
        <v>0.2857142857142857</v>
      </c>
      <c r="I188">
        <v>958.02</v>
      </c>
      <c r="J188">
        <v>2</v>
      </c>
      <c r="K188" s="2">
        <v>3.9100000000000003E-2</v>
      </c>
    </row>
    <row r="189" spans="1:11">
      <c r="A189" t="s">
        <v>17</v>
      </c>
      <c r="B189" t="s">
        <v>41</v>
      </c>
      <c r="C189" s="1">
        <v>45505</v>
      </c>
      <c r="D189">
        <v>64</v>
      </c>
      <c r="E189">
        <v>7</v>
      </c>
      <c r="F189">
        <v>554.20000000000005</v>
      </c>
      <c r="G189">
        <v>2</v>
      </c>
      <c r="H189" s="2">
        <v>0.2857142857142857</v>
      </c>
      <c r="I189">
        <v>3620.9</v>
      </c>
      <c r="J189">
        <v>1</v>
      </c>
      <c r="K189" s="2">
        <v>1.23E-2</v>
      </c>
    </row>
    <row r="190" spans="1:11">
      <c r="A190" t="s">
        <v>18</v>
      </c>
      <c r="B190" t="s">
        <v>41</v>
      </c>
      <c r="C190" s="1">
        <v>45505</v>
      </c>
      <c r="D190">
        <v>76</v>
      </c>
      <c r="E190">
        <v>21</v>
      </c>
      <c r="F190">
        <v>293.93</v>
      </c>
      <c r="G190">
        <v>2</v>
      </c>
      <c r="H190" s="2">
        <v>9.5238095238095233E-2</v>
      </c>
      <c r="I190">
        <v>2531.4</v>
      </c>
      <c r="J190">
        <v>3</v>
      </c>
      <c r="K190" s="2">
        <v>0.1012</v>
      </c>
    </row>
    <row r="191" spans="1:11">
      <c r="A191" t="s">
        <v>19</v>
      </c>
      <c r="B191" t="s">
        <v>41</v>
      </c>
      <c r="C191" s="1">
        <v>45505</v>
      </c>
      <c r="D191">
        <v>64</v>
      </c>
      <c r="E191">
        <v>9</v>
      </c>
      <c r="F191">
        <v>255.17</v>
      </c>
      <c r="G191">
        <v>6</v>
      </c>
      <c r="H191" s="2">
        <v>0.66666666666666663</v>
      </c>
      <c r="I191">
        <v>4136.6899999999996</v>
      </c>
      <c r="J191">
        <v>2</v>
      </c>
      <c r="K191" s="2">
        <v>3.8199999999999998E-2</v>
      </c>
    </row>
    <row r="192" spans="1:11">
      <c r="A192" t="s">
        <v>20</v>
      </c>
      <c r="B192" t="s">
        <v>41</v>
      </c>
      <c r="C192" s="1">
        <v>45505</v>
      </c>
      <c r="D192">
        <v>26</v>
      </c>
      <c r="E192">
        <v>17</v>
      </c>
      <c r="F192">
        <v>391.73</v>
      </c>
      <c r="G192">
        <v>7</v>
      </c>
      <c r="H192" s="2">
        <v>0.41176470588235292</v>
      </c>
      <c r="I192">
        <v>1166.55</v>
      </c>
      <c r="J192">
        <v>1</v>
      </c>
      <c r="K192" s="2">
        <v>6.1200000000000004E-2</v>
      </c>
    </row>
    <row r="193" spans="1:11">
      <c r="A193" t="s">
        <v>21</v>
      </c>
      <c r="B193" t="s">
        <v>41</v>
      </c>
      <c r="C193" s="1">
        <v>45505</v>
      </c>
      <c r="D193">
        <v>65</v>
      </c>
      <c r="E193">
        <v>13</v>
      </c>
      <c r="F193">
        <v>324.26</v>
      </c>
      <c r="G193">
        <v>7</v>
      </c>
      <c r="H193" s="2">
        <v>0.53846153846153844</v>
      </c>
      <c r="I193">
        <v>1044.8599999999999</v>
      </c>
      <c r="J193">
        <v>3</v>
      </c>
      <c r="K193" s="2">
        <v>3.5200000000000002E-2</v>
      </c>
    </row>
    <row r="194" spans="1:11">
      <c r="A194" t="s">
        <v>22</v>
      </c>
      <c r="B194" t="s">
        <v>41</v>
      </c>
      <c r="C194" s="1">
        <v>45505</v>
      </c>
      <c r="D194">
        <v>22</v>
      </c>
      <c r="E194">
        <v>9</v>
      </c>
      <c r="F194">
        <v>211.28</v>
      </c>
      <c r="G194">
        <v>8</v>
      </c>
      <c r="H194" s="2">
        <v>0.88888888888888884</v>
      </c>
      <c r="I194">
        <v>772.77</v>
      </c>
      <c r="J194">
        <v>2</v>
      </c>
      <c r="K194" s="2">
        <v>8.0600000000000005E-2</v>
      </c>
    </row>
    <row r="195" spans="1:11">
      <c r="A195" t="s">
        <v>23</v>
      </c>
      <c r="B195" t="s">
        <v>41</v>
      </c>
      <c r="C195" s="1">
        <v>45505</v>
      </c>
      <c r="D195">
        <v>30</v>
      </c>
      <c r="E195">
        <v>6</v>
      </c>
      <c r="F195">
        <v>549.26</v>
      </c>
      <c r="G195">
        <v>2</v>
      </c>
      <c r="H195" s="2">
        <v>0.33333333333333331</v>
      </c>
      <c r="I195">
        <v>3868.36</v>
      </c>
      <c r="J195">
        <v>1</v>
      </c>
      <c r="K195" s="2">
        <v>4.2800000000000005E-2</v>
      </c>
    </row>
    <row r="196" spans="1:11">
      <c r="A196" t="s">
        <v>24</v>
      </c>
      <c r="B196" t="s">
        <v>41</v>
      </c>
      <c r="C196" s="1">
        <v>45505</v>
      </c>
      <c r="D196">
        <v>83</v>
      </c>
      <c r="E196">
        <v>15</v>
      </c>
      <c r="F196">
        <v>601.05999999999995</v>
      </c>
      <c r="G196">
        <v>3</v>
      </c>
      <c r="H196" s="2">
        <v>0.2</v>
      </c>
      <c r="I196">
        <v>350.62</v>
      </c>
      <c r="J196">
        <v>3</v>
      </c>
      <c r="K196" s="2">
        <v>3.6600000000000001E-2</v>
      </c>
    </row>
    <row r="197" spans="1:11">
      <c r="A197" t="s">
        <v>25</v>
      </c>
      <c r="B197" t="s">
        <v>41</v>
      </c>
      <c r="C197" s="1">
        <v>45505</v>
      </c>
      <c r="D197">
        <v>35</v>
      </c>
      <c r="E197">
        <v>6</v>
      </c>
      <c r="F197">
        <v>192.19</v>
      </c>
      <c r="G197">
        <v>1</v>
      </c>
      <c r="H197" s="2">
        <v>0.16666666666666666</v>
      </c>
      <c r="I197">
        <v>3963.32</v>
      </c>
      <c r="J197">
        <v>2</v>
      </c>
      <c r="K197" s="2">
        <v>3.9800000000000002E-2</v>
      </c>
    </row>
    <row r="198" spans="1:11">
      <c r="A198" t="s">
        <v>26</v>
      </c>
      <c r="B198" t="s">
        <v>41</v>
      </c>
      <c r="C198" s="1">
        <v>45505</v>
      </c>
      <c r="D198">
        <v>73</v>
      </c>
      <c r="E198">
        <v>8</v>
      </c>
      <c r="F198">
        <v>191.76</v>
      </c>
      <c r="G198">
        <v>3</v>
      </c>
      <c r="H198" s="2">
        <v>0.375</v>
      </c>
      <c r="I198">
        <v>675.97</v>
      </c>
      <c r="J198">
        <v>3</v>
      </c>
      <c r="K198" s="2">
        <v>3.0200000000000001E-2</v>
      </c>
    </row>
    <row r="199" spans="1:11">
      <c r="A199" t="s">
        <v>27</v>
      </c>
      <c r="B199" t="s">
        <v>41</v>
      </c>
      <c r="C199" s="1">
        <v>45505</v>
      </c>
      <c r="D199">
        <v>104</v>
      </c>
      <c r="E199">
        <v>4</v>
      </c>
      <c r="F199">
        <v>169.75</v>
      </c>
      <c r="G199">
        <v>3</v>
      </c>
      <c r="H199" s="2">
        <v>0.75</v>
      </c>
      <c r="I199">
        <v>1255.83</v>
      </c>
      <c r="J199">
        <v>2</v>
      </c>
      <c r="K199" s="2">
        <v>7.7600000000000002E-2</v>
      </c>
    </row>
    <row r="200" spans="1:11">
      <c r="A200" t="s">
        <v>28</v>
      </c>
      <c r="B200" t="s">
        <v>41</v>
      </c>
      <c r="C200" s="1">
        <v>45505</v>
      </c>
      <c r="D200">
        <v>71</v>
      </c>
      <c r="E200">
        <v>6</v>
      </c>
      <c r="F200">
        <v>87.5</v>
      </c>
      <c r="G200">
        <v>3</v>
      </c>
      <c r="H200" s="2">
        <v>0.5</v>
      </c>
      <c r="I200">
        <v>3666.64</v>
      </c>
      <c r="J200">
        <v>1</v>
      </c>
      <c r="K200" s="2">
        <v>9.1300000000000006E-2</v>
      </c>
    </row>
    <row r="201" spans="1:11">
      <c r="A201" t="s">
        <v>29</v>
      </c>
      <c r="B201" t="s">
        <v>41</v>
      </c>
      <c r="C201" s="1">
        <v>45505</v>
      </c>
      <c r="D201">
        <v>22</v>
      </c>
      <c r="E201">
        <v>14</v>
      </c>
      <c r="F201">
        <v>477.3</v>
      </c>
      <c r="G201">
        <v>6</v>
      </c>
      <c r="H201" s="2">
        <v>0.42857142857142855</v>
      </c>
      <c r="I201">
        <v>3790.05</v>
      </c>
      <c r="J201">
        <v>3</v>
      </c>
      <c r="K201" s="2">
        <v>3.32E-2</v>
      </c>
    </row>
    <row r="202" spans="1:11">
      <c r="A202" t="s">
        <v>30</v>
      </c>
      <c r="B202" t="s">
        <v>41</v>
      </c>
      <c r="C202" s="1">
        <v>45505</v>
      </c>
      <c r="D202">
        <v>85</v>
      </c>
      <c r="E202">
        <v>17</v>
      </c>
      <c r="F202">
        <v>187.72</v>
      </c>
      <c r="G202">
        <v>5</v>
      </c>
      <c r="H202" s="2">
        <v>0.29411764705882354</v>
      </c>
      <c r="I202">
        <v>443.22</v>
      </c>
      <c r="J202">
        <v>2</v>
      </c>
      <c r="K202" s="2">
        <v>0.1016</v>
      </c>
    </row>
    <row r="203" spans="1:11">
      <c r="A203" t="s">
        <v>31</v>
      </c>
      <c r="B203" t="s">
        <v>41</v>
      </c>
      <c r="C203" s="1">
        <v>45505</v>
      </c>
      <c r="D203">
        <v>80</v>
      </c>
      <c r="E203">
        <v>13</v>
      </c>
      <c r="F203">
        <v>504.59</v>
      </c>
      <c r="G203">
        <v>0</v>
      </c>
      <c r="H203" s="2">
        <v>0</v>
      </c>
      <c r="I203">
        <v>1265.47</v>
      </c>
      <c r="J203">
        <v>1</v>
      </c>
      <c r="K203" s="2">
        <v>1E-3</v>
      </c>
    </row>
    <row r="204" spans="1:11">
      <c r="A204" t="s">
        <v>32</v>
      </c>
      <c r="B204" t="s">
        <v>41</v>
      </c>
      <c r="C204" s="1">
        <v>45505</v>
      </c>
      <c r="D204">
        <v>18</v>
      </c>
      <c r="E204">
        <v>12</v>
      </c>
      <c r="F204">
        <v>262.26</v>
      </c>
      <c r="G204">
        <v>1</v>
      </c>
      <c r="H204" s="2">
        <v>8.3333333333333329E-2</v>
      </c>
      <c r="I204">
        <v>1573.7</v>
      </c>
      <c r="J204">
        <v>3</v>
      </c>
      <c r="K204" s="2">
        <v>5.1299999999999998E-2</v>
      </c>
    </row>
    <row r="205" spans="1:11">
      <c r="A205" t="s">
        <v>33</v>
      </c>
      <c r="B205" t="s">
        <v>41</v>
      </c>
      <c r="C205" s="1">
        <v>45505</v>
      </c>
      <c r="D205">
        <v>106</v>
      </c>
      <c r="E205">
        <v>6</v>
      </c>
      <c r="F205">
        <v>572.16</v>
      </c>
      <c r="G205">
        <v>2</v>
      </c>
      <c r="H205" s="2">
        <v>0.33333333333333331</v>
      </c>
      <c r="I205">
        <v>3398.37</v>
      </c>
      <c r="J205">
        <v>2</v>
      </c>
      <c r="K205" s="2">
        <v>2.87E-2</v>
      </c>
    </row>
    <row r="206" spans="1:11">
      <c r="A206" t="s">
        <v>34</v>
      </c>
      <c r="B206" t="s">
        <v>41</v>
      </c>
      <c r="C206" s="1">
        <v>45505</v>
      </c>
      <c r="D206">
        <v>71</v>
      </c>
      <c r="E206">
        <v>9</v>
      </c>
      <c r="F206">
        <v>172.96</v>
      </c>
      <c r="G206">
        <v>6</v>
      </c>
      <c r="H206" s="2">
        <v>0.66666666666666663</v>
      </c>
      <c r="I206">
        <v>464.49</v>
      </c>
      <c r="J206">
        <v>1</v>
      </c>
      <c r="K206" s="2">
        <v>8.2699999999999996E-2</v>
      </c>
    </row>
    <row r="207" spans="1:11">
      <c r="A207" t="s">
        <v>35</v>
      </c>
      <c r="B207" t="s">
        <v>41</v>
      </c>
      <c r="C207" s="1">
        <v>45505</v>
      </c>
      <c r="D207">
        <v>115</v>
      </c>
      <c r="E207">
        <v>17</v>
      </c>
      <c r="F207">
        <v>422.48</v>
      </c>
      <c r="G207">
        <v>0</v>
      </c>
      <c r="H207" s="2">
        <v>0</v>
      </c>
      <c r="I207">
        <v>2681.51</v>
      </c>
      <c r="J207">
        <v>3</v>
      </c>
      <c r="K207" s="2">
        <v>2.5000000000000001E-2</v>
      </c>
    </row>
    <row r="208" spans="1:11">
      <c r="A208" t="s">
        <v>37</v>
      </c>
      <c r="B208" t="s">
        <v>41</v>
      </c>
      <c r="C208" s="1">
        <v>45505</v>
      </c>
      <c r="D208">
        <v>34</v>
      </c>
      <c r="E208">
        <v>10</v>
      </c>
      <c r="F208">
        <v>565.11</v>
      </c>
      <c r="G208">
        <v>5</v>
      </c>
      <c r="H208" s="2">
        <v>0.5</v>
      </c>
      <c r="I208">
        <v>222.62</v>
      </c>
      <c r="J208">
        <v>2</v>
      </c>
      <c r="K208" s="2">
        <v>7.1800000000000003E-2</v>
      </c>
    </row>
    <row r="209" spans="1:11">
      <c r="A209" t="s">
        <v>38</v>
      </c>
      <c r="B209" t="s">
        <v>41</v>
      </c>
      <c r="C209" s="1">
        <v>45505</v>
      </c>
      <c r="D209">
        <v>40</v>
      </c>
      <c r="E209">
        <v>17</v>
      </c>
      <c r="F209">
        <v>355.83</v>
      </c>
      <c r="G209">
        <v>6</v>
      </c>
      <c r="H209" s="2">
        <v>0.35294117647058826</v>
      </c>
      <c r="I209">
        <v>4155.8599999999997</v>
      </c>
      <c r="J209">
        <v>1</v>
      </c>
      <c r="K209" s="2">
        <v>8.8000000000000009E-2</v>
      </c>
    </row>
    <row r="210" spans="1:11">
      <c r="A210" t="s">
        <v>11</v>
      </c>
      <c r="B210" t="s">
        <v>41</v>
      </c>
      <c r="C210" s="1">
        <v>45536</v>
      </c>
      <c r="D210">
        <v>51</v>
      </c>
      <c r="E210">
        <v>15</v>
      </c>
      <c r="F210">
        <v>349.71</v>
      </c>
      <c r="G210">
        <v>8</v>
      </c>
      <c r="H210" s="2">
        <v>0.53333333333333333</v>
      </c>
      <c r="I210">
        <v>4017.54</v>
      </c>
      <c r="J210">
        <v>1</v>
      </c>
      <c r="K210" s="2">
        <v>2.92E-2</v>
      </c>
    </row>
    <row r="211" spans="1:11">
      <c r="A211" t="s">
        <v>13</v>
      </c>
      <c r="B211" t="s">
        <v>41</v>
      </c>
      <c r="C211" s="1">
        <v>45536</v>
      </c>
      <c r="D211">
        <v>79</v>
      </c>
      <c r="E211">
        <v>9</v>
      </c>
      <c r="F211">
        <v>358.67</v>
      </c>
      <c r="G211">
        <v>5</v>
      </c>
      <c r="H211" s="2">
        <v>0.55555555555555558</v>
      </c>
      <c r="I211">
        <v>3658.64</v>
      </c>
      <c r="J211">
        <v>3</v>
      </c>
      <c r="K211" s="2">
        <v>3.7499999999999999E-2</v>
      </c>
    </row>
    <row r="212" spans="1:11">
      <c r="A212" t="s">
        <v>14</v>
      </c>
      <c r="B212" t="s">
        <v>41</v>
      </c>
      <c r="C212" s="1">
        <v>45536</v>
      </c>
      <c r="D212">
        <v>57</v>
      </c>
      <c r="E212">
        <v>18</v>
      </c>
      <c r="F212">
        <v>403.41</v>
      </c>
      <c r="G212">
        <v>3</v>
      </c>
      <c r="H212" s="2">
        <v>0.16666666666666666</v>
      </c>
      <c r="I212">
        <v>3767.63</v>
      </c>
      <c r="J212">
        <v>2</v>
      </c>
      <c r="K212" s="2">
        <v>4.24E-2</v>
      </c>
    </row>
    <row r="213" spans="1:11">
      <c r="A213" t="s">
        <v>15</v>
      </c>
      <c r="B213" t="s">
        <v>41</v>
      </c>
      <c r="C213" s="1">
        <v>45536</v>
      </c>
      <c r="D213">
        <v>24</v>
      </c>
      <c r="E213">
        <v>7</v>
      </c>
      <c r="F213">
        <v>79.62</v>
      </c>
      <c r="G213">
        <v>4</v>
      </c>
      <c r="H213" s="2">
        <v>0.5714285714285714</v>
      </c>
      <c r="I213">
        <v>1650.69</v>
      </c>
      <c r="J213">
        <v>1</v>
      </c>
      <c r="K213" s="2">
        <v>3.0600000000000002E-2</v>
      </c>
    </row>
    <row r="214" spans="1:11">
      <c r="A214" t="s">
        <v>16</v>
      </c>
      <c r="B214" t="s">
        <v>41</v>
      </c>
      <c r="C214" s="1">
        <v>45536</v>
      </c>
      <c r="D214">
        <v>77</v>
      </c>
      <c r="E214">
        <v>11</v>
      </c>
      <c r="F214">
        <v>487.47</v>
      </c>
      <c r="G214">
        <v>4</v>
      </c>
      <c r="H214" s="2">
        <v>0.36363636363636365</v>
      </c>
      <c r="I214">
        <v>990.89</v>
      </c>
      <c r="J214">
        <v>3</v>
      </c>
      <c r="K214" s="2">
        <v>4.3299999999999998E-2</v>
      </c>
    </row>
    <row r="215" spans="1:11">
      <c r="A215" t="s">
        <v>17</v>
      </c>
      <c r="B215" t="s">
        <v>41</v>
      </c>
      <c r="C215" s="1">
        <v>45536</v>
      </c>
      <c r="D215">
        <v>69</v>
      </c>
      <c r="E215">
        <v>7</v>
      </c>
      <c r="F215">
        <v>549.77</v>
      </c>
      <c r="G215">
        <v>2</v>
      </c>
      <c r="H215" s="2">
        <v>0.2857142857142857</v>
      </c>
      <c r="I215">
        <v>3916.58</v>
      </c>
      <c r="J215">
        <v>2</v>
      </c>
      <c r="K215" s="2">
        <v>1.2E-2</v>
      </c>
    </row>
    <row r="216" spans="1:11">
      <c r="A216" t="s">
        <v>18</v>
      </c>
      <c r="B216" t="s">
        <v>41</v>
      </c>
      <c r="C216" s="1">
        <v>45536</v>
      </c>
      <c r="D216">
        <v>74</v>
      </c>
      <c r="E216">
        <v>18</v>
      </c>
      <c r="F216">
        <v>306.89999999999998</v>
      </c>
      <c r="G216">
        <v>3</v>
      </c>
      <c r="H216" s="2">
        <v>0.16666666666666666</v>
      </c>
      <c r="I216">
        <v>2254.16</v>
      </c>
      <c r="J216">
        <v>1</v>
      </c>
      <c r="K216" s="2">
        <v>9.64E-2</v>
      </c>
    </row>
    <row r="217" spans="1:11">
      <c r="A217" t="s">
        <v>19</v>
      </c>
      <c r="B217" t="s">
        <v>41</v>
      </c>
      <c r="C217" s="1">
        <v>45536</v>
      </c>
      <c r="D217">
        <v>57</v>
      </c>
      <c r="E217">
        <v>7</v>
      </c>
      <c r="F217">
        <v>262.27999999999997</v>
      </c>
      <c r="G217">
        <v>7</v>
      </c>
      <c r="H217" s="2">
        <v>1</v>
      </c>
      <c r="I217">
        <v>3929.11</v>
      </c>
      <c r="J217">
        <v>3</v>
      </c>
      <c r="K217" s="2">
        <v>4.4299999999999999E-2</v>
      </c>
    </row>
    <row r="218" spans="1:11">
      <c r="A218" t="s">
        <v>20</v>
      </c>
      <c r="B218" t="s">
        <v>41</v>
      </c>
      <c r="C218" s="1">
        <v>45536</v>
      </c>
      <c r="D218">
        <v>26</v>
      </c>
      <c r="E218">
        <v>21</v>
      </c>
      <c r="F218">
        <v>359.51</v>
      </c>
      <c r="G218">
        <v>9</v>
      </c>
      <c r="H218" s="2">
        <v>0.42857142857142855</v>
      </c>
      <c r="I218">
        <v>1187.3699999999999</v>
      </c>
      <c r="J218">
        <v>2</v>
      </c>
      <c r="K218" s="2">
        <v>5.33E-2</v>
      </c>
    </row>
    <row r="219" spans="1:11">
      <c r="A219" t="s">
        <v>21</v>
      </c>
      <c r="B219" t="s">
        <v>41</v>
      </c>
      <c r="C219" s="1">
        <v>45536</v>
      </c>
      <c r="D219">
        <v>76</v>
      </c>
      <c r="E219">
        <v>18</v>
      </c>
      <c r="F219">
        <v>339.1</v>
      </c>
      <c r="G219">
        <v>8</v>
      </c>
      <c r="H219" s="2">
        <v>0.44444444444444442</v>
      </c>
      <c r="I219">
        <v>924.79</v>
      </c>
      <c r="J219">
        <v>1</v>
      </c>
      <c r="K219" s="2">
        <v>3.6000000000000004E-2</v>
      </c>
    </row>
    <row r="220" spans="1:11">
      <c r="A220" t="s">
        <v>22</v>
      </c>
      <c r="B220" t="s">
        <v>41</v>
      </c>
      <c r="C220" s="1">
        <v>45536</v>
      </c>
      <c r="D220">
        <v>22</v>
      </c>
      <c r="E220">
        <v>7</v>
      </c>
      <c r="F220">
        <v>182.47</v>
      </c>
      <c r="G220">
        <v>7</v>
      </c>
      <c r="H220" s="2">
        <v>1</v>
      </c>
      <c r="I220">
        <v>779.86</v>
      </c>
      <c r="J220">
        <v>3</v>
      </c>
      <c r="K220" s="2">
        <v>7.2700000000000001E-2</v>
      </c>
    </row>
    <row r="221" spans="1:11">
      <c r="A221" t="s">
        <v>23</v>
      </c>
      <c r="B221" t="s">
        <v>41</v>
      </c>
      <c r="C221" s="1">
        <v>45536</v>
      </c>
      <c r="D221">
        <v>38</v>
      </c>
      <c r="E221">
        <v>6</v>
      </c>
      <c r="F221">
        <v>553.89</v>
      </c>
      <c r="G221">
        <v>6</v>
      </c>
      <c r="H221" s="2">
        <v>1</v>
      </c>
      <c r="I221">
        <v>4013.79</v>
      </c>
      <c r="J221">
        <v>2</v>
      </c>
      <c r="K221" s="2">
        <v>4.3200000000000002E-2</v>
      </c>
    </row>
    <row r="222" spans="1:11">
      <c r="A222" t="s">
        <v>24</v>
      </c>
      <c r="B222" t="s">
        <v>41</v>
      </c>
      <c r="C222" s="1">
        <v>45536</v>
      </c>
      <c r="D222">
        <v>87</v>
      </c>
      <c r="E222">
        <v>21</v>
      </c>
      <c r="F222">
        <v>633.13</v>
      </c>
      <c r="G222">
        <v>2</v>
      </c>
      <c r="H222" s="2">
        <v>9.5238095238095233E-2</v>
      </c>
      <c r="I222">
        <v>336.22</v>
      </c>
      <c r="J222">
        <v>1</v>
      </c>
      <c r="K222" s="2">
        <v>3.4500000000000003E-2</v>
      </c>
    </row>
    <row r="223" spans="1:11">
      <c r="A223" t="s">
        <v>25</v>
      </c>
      <c r="B223" t="s">
        <v>41</v>
      </c>
      <c r="C223" s="1">
        <v>45536</v>
      </c>
      <c r="D223">
        <v>37</v>
      </c>
      <c r="E223">
        <v>8</v>
      </c>
      <c r="F223">
        <v>215.09</v>
      </c>
      <c r="G223">
        <v>2</v>
      </c>
      <c r="H223" s="2">
        <v>0.25</v>
      </c>
      <c r="I223">
        <v>3424.83</v>
      </c>
      <c r="J223">
        <v>3</v>
      </c>
      <c r="K223" s="2">
        <v>4.07E-2</v>
      </c>
    </row>
    <row r="224" spans="1:11">
      <c r="A224" t="s">
        <v>26</v>
      </c>
      <c r="B224" t="s">
        <v>41</v>
      </c>
      <c r="C224" s="1">
        <v>45536</v>
      </c>
      <c r="D224">
        <v>71</v>
      </c>
      <c r="E224">
        <v>8</v>
      </c>
      <c r="F224">
        <v>199.19</v>
      </c>
      <c r="G224">
        <v>2</v>
      </c>
      <c r="H224" s="2">
        <v>0.25</v>
      </c>
      <c r="I224">
        <v>635.24</v>
      </c>
      <c r="J224">
        <v>2</v>
      </c>
      <c r="K224" s="2">
        <v>2.9500000000000002E-2</v>
      </c>
    </row>
    <row r="225" spans="1:11">
      <c r="A225" t="s">
        <v>27</v>
      </c>
      <c r="B225" t="s">
        <v>41</v>
      </c>
      <c r="C225" s="1">
        <v>45536</v>
      </c>
      <c r="D225">
        <v>81</v>
      </c>
      <c r="E225">
        <v>5</v>
      </c>
      <c r="F225">
        <v>153.5</v>
      </c>
      <c r="G225">
        <v>2</v>
      </c>
      <c r="H225" s="2">
        <v>0.4</v>
      </c>
      <c r="I225">
        <v>1307.47</v>
      </c>
      <c r="J225">
        <v>1</v>
      </c>
      <c r="K225" s="2">
        <v>7.3300000000000004E-2</v>
      </c>
    </row>
    <row r="226" spans="1:11">
      <c r="A226" t="s">
        <v>28</v>
      </c>
      <c r="B226" t="s">
        <v>41</v>
      </c>
      <c r="C226" s="1">
        <v>45536</v>
      </c>
      <c r="D226">
        <v>93</v>
      </c>
      <c r="E226">
        <v>5</v>
      </c>
      <c r="F226">
        <v>77.12</v>
      </c>
      <c r="G226">
        <v>2</v>
      </c>
      <c r="H226" s="2">
        <v>0.4</v>
      </c>
      <c r="I226">
        <v>3483.91</v>
      </c>
      <c r="J226">
        <v>3</v>
      </c>
      <c r="K226" s="2">
        <v>9.9000000000000005E-2</v>
      </c>
    </row>
    <row r="227" spans="1:11">
      <c r="A227" t="s">
        <v>29</v>
      </c>
      <c r="B227" t="s">
        <v>41</v>
      </c>
      <c r="C227" s="1">
        <v>45536</v>
      </c>
      <c r="D227">
        <v>21</v>
      </c>
      <c r="E227">
        <v>17</v>
      </c>
      <c r="F227">
        <v>533.41999999999996</v>
      </c>
      <c r="G227">
        <v>7</v>
      </c>
      <c r="H227" s="2">
        <v>0.41176470588235292</v>
      </c>
      <c r="I227">
        <v>3895.32</v>
      </c>
      <c r="J227">
        <v>2</v>
      </c>
      <c r="K227" s="2">
        <v>3.4000000000000002E-2</v>
      </c>
    </row>
    <row r="228" spans="1:11">
      <c r="A228" t="s">
        <v>30</v>
      </c>
      <c r="B228" t="s">
        <v>41</v>
      </c>
      <c r="C228" s="1">
        <v>45536</v>
      </c>
      <c r="D228">
        <v>86</v>
      </c>
      <c r="E228">
        <v>17</v>
      </c>
      <c r="F228">
        <v>160.88999999999999</v>
      </c>
      <c r="G228">
        <v>4</v>
      </c>
      <c r="H228" s="2">
        <v>0.23529411764705882</v>
      </c>
      <c r="I228">
        <v>418.33</v>
      </c>
      <c r="J228">
        <v>1</v>
      </c>
      <c r="K228" s="2">
        <v>8.8100000000000012E-2</v>
      </c>
    </row>
    <row r="229" spans="1:11">
      <c r="A229" t="s">
        <v>31</v>
      </c>
      <c r="B229" t="s">
        <v>41</v>
      </c>
      <c r="C229" s="1">
        <v>45536</v>
      </c>
      <c r="D229">
        <v>72</v>
      </c>
      <c r="E229">
        <v>11</v>
      </c>
      <c r="F229">
        <v>459.86</v>
      </c>
      <c r="G229">
        <v>0</v>
      </c>
      <c r="H229" s="2">
        <v>0</v>
      </c>
      <c r="I229">
        <v>1269.5999999999999</v>
      </c>
      <c r="J229">
        <v>3</v>
      </c>
      <c r="K229" s="2">
        <v>1E-3</v>
      </c>
    </row>
    <row r="230" spans="1:11">
      <c r="A230" t="s">
        <v>32</v>
      </c>
      <c r="B230" t="s">
        <v>41</v>
      </c>
      <c r="C230" s="1">
        <v>45536</v>
      </c>
      <c r="D230">
        <v>18</v>
      </c>
      <c r="E230">
        <v>13</v>
      </c>
      <c r="F230">
        <v>290.14</v>
      </c>
      <c r="G230">
        <v>2</v>
      </c>
      <c r="H230" s="2">
        <v>0.15384615384615385</v>
      </c>
      <c r="I230">
        <v>1444.65</v>
      </c>
      <c r="J230">
        <v>2</v>
      </c>
      <c r="K230" s="2">
        <v>5.4699999999999999E-2</v>
      </c>
    </row>
    <row r="231" spans="1:11">
      <c r="A231" t="s">
        <v>33</v>
      </c>
      <c r="B231" t="s">
        <v>41</v>
      </c>
      <c r="C231" s="1">
        <v>45536</v>
      </c>
      <c r="D231">
        <v>105</v>
      </c>
      <c r="E231">
        <v>7</v>
      </c>
      <c r="F231">
        <v>587.83000000000004</v>
      </c>
      <c r="G231">
        <v>1</v>
      </c>
      <c r="H231" s="2">
        <v>0.14285714285714285</v>
      </c>
      <c r="I231">
        <v>3601.93</v>
      </c>
      <c r="J231">
        <v>1</v>
      </c>
      <c r="K231" s="2">
        <v>3.2199999999999999E-2</v>
      </c>
    </row>
    <row r="232" spans="1:11">
      <c r="A232" t="s">
        <v>34</v>
      </c>
      <c r="B232" t="s">
        <v>41</v>
      </c>
      <c r="C232" s="1">
        <v>45536</v>
      </c>
      <c r="D232">
        <v>75</v>
      </c>
      <c r="E232">
        <v>8</v>
      </c>
      <c r="F232">
        <v>177.88</v>
      </c>
      <c r="G232">
        <v>7</v>
      </c>
      <c r="H232" s="2">
        <v>0.875</v>
      </c>
      <c r="I232">
        <v>507.1</v>
      </c>
      <c r="J232">
        <v>3</v>
      </c>
      <c r="K232" s="2">
        <v>9.5199999999999993E-2</v>
      </c>
    </row>
    <row r="233" spans="1:11">
      <c r="A233" t="s">
        <v>35</v>
      </c>
      <c r="B233" t="s">
        <v>41</v>
      </c>
      <c r="C233" s="1">
        <v>45536</v>
      </c>
      <c r="D233">
        <v>98</v>
      </c>
      <c r="E233">
        <v>12</v>
      </c>
      <c r="F233">
        <v>406.95</v>
      </c>
      <c r="G233">
        <v>0</v>
      </c>
      <c r="H233" s="2">
        <v>0</v>
      </c>
      <c r="I233">
        <v>2978.09</v>
      </c>
      <c r="J233">
        <v>2</v>
      </c>
      <c r="K233" s="2">
        <v>2.3700000000000002E-2</v>
      </c>
    </row>
    <row r="234" spans="1:11">
      <c r="A234" t="s">
        <v>37</v>
      </c>
      <c r="B234" t="s">
        <v>41</v>
      </c>
      <c r="C234" s="1">
        <v>45536</v>
      </c>
      <c r="D234">
        <v>33</v>
      </c>
      <c r="E234">
        <v>13</v>
      </c>
      <c r="F234">
        <v>517.1</v>
      </c>
      <c r="G234">
        <v>4</v>
      </c>
      <c r="H234" s="2">
        <v>0.30769230769230771</v>
      </c>
      <c r="I234">
        <v>250.08</v>
      </c>
      <c r="J234">
        <v>1</v>
      </c>
      <c r="K234" s="2">
        <v>6.5299999999999997E-2</v>
      </c>
    </row>
    <row r="235" spans="1:11">
      <c r="A235" t="s">
        <v>38</v>
      </c>
      <c r="B235" t="s">
        <v>41</v>
      </c>
      <c r="C235" s="1">
        <v>45536</v>
      </c>
      <c r="D235">
        <v>35</v>
      </c>
      <c r="E235">
        <v>18</v>
      </c>
      <c r="F235">
        <v>348.92</v>
      </c>
      <c r="G235">
        <v>7</v>
      </c>
      <c r="H235" s="2">
        <v>0.3888888888888889</v>
      </c>
      <c r="I235">
        <v>4381.3900000000003</v>
      </c>
      <c r="J235">
        <v>1</v>
      </c>
      <c r="K235" s="2">
        <v>8.8599999999999998E-2</v>
      </c>
    </row>
    <row r="236" spans="1:11">
      <c r="A236" t="s">
        <v>11</v>
      </c>
      <c r="B236" t="s">
        <v>41</v>
      </c>
      <c r="C236" s="1">
        <v>45566</v>
      </c>
      <c r="D236">
        <v>74</v>
      </c>
      <c r="E236">
        <v>16</v>
      </c>
      <c r="F236">
        <v>308.51</v>
      </c>
      <c r="G236">
        <v>7</v>
      </c>
      <c r="H236" s="2">
        <v>0.4375</v>
      </c>
      <c r="I236">
        <v>4267.5</v>
      </c>
      <c r="J236">
        <v>3</v>
      </c>
      <c r="K236" s="2">
        <v>2.9399999999999999E-2</v>
      </c>
    </row>
    <row r="237" spans="1:11">
      <c r="A237" t="s">
        <v>13</v>
      </c>
      <c r="B237" t="s">
        <v>41</v>
      </c>
      <c r="C237" s="1">
        <v>45566</v>
      </c>
      <c r="D237">
        <v>72</v>
      </c>
      <c r="E237">
        <v>10</v>
      </c>
      <c r="F237">
        <v>362.58</v>
      </c>
      <c r="G237">
        <v>5</v>
      </c>
      <c r="H237" s="2">
        <v>0.5</v>
      </c>
      <c r="I237">
        <v>3679.65</v>
      </c>
      <c r="J237">
        <v>2</v>
      </c>
      <c r="K237" s="2">
        <v>3.8599999999999995E-2</v>
      </c>
    </row>
    <row r="238" spans="1:11">
      <c r="A238" t="s">
        <v>14</v>
      </c>
      <c r="B238" t="s">
        <v>41</v>
      </c>
      <c r="C238" s="1">
        <v>45566</v>
      </c>
      <c r="D238">
        <v>58</v>
      </c>
      <c r="E238">
        <v>13</v>
      </c>
      <c r="F238">
        <v>368.06</v>
      </c>
      <c r="G238">
        <v>2</v>
      </c>
      <c r="H238" s="2">
        <v>0.15384615384615385</v>
      </c>
      <c r="I238">
        <v>3626.22</v>
      </c>
      <c r="J238">
        <v>1</v>
      </c>
      <c r="K238" s="2">
        <v>4.1399999999999999E-2</v>
      </c>
    </row>
    <row r="239" spans="1:11">
      <c r="A239" t="s">
        <v>15</v>
      </c>
      <c r="B239" t="s">
        <v>41</v>
      </c>
      <c r="C239" s="1">
        <v>45566</v>
      </c>
      <c r="D239">
        <v>22</v>
      </c>
      <c r="E239">
        <v>7</v>
      </c>
      <c r="F239">
        <v>74.680000000000007</v>
      </c>
      <c r="G239">
        <v>4</v>
      </c>
      <c r="H239" s="2">
        <v>0.5714285714285714</v>
      </c>
      <c r="I239">
        <v>1543.72</v>
      </c>
      <c r="J239">
        <v>3</v>
      </c>
      <c r="K239" s="2">
        <v>2.75E-2</v>
      </c>
    </row>
    <row r="240" spans="1:11">
      <c r="A240" t="s">
        <v>16</v>
      </c>
      <c r="B240" t="s">
        <v>41</v>
      </c>
      <c r="C240" s="1">
        <v>45566</v>
      </c>
      <c r="D240">
        <v>74</v>
      </c>
      <c r="E240">
        <v>15</v>
      </c>
      <c r="F240">
        <v>460.2</v>
      </c>
      <c r="G240">
        <v>4</v>
      </c>
      <c r="H240" s="2">
        <v>0.26666666666666666</v>
      </c>
      <c r="I240">
        <v>980.1</v>
      </c>
      <c r="J240">
        <v>2</v>
      </c>
      <c r="K240" s="2">
        <v>3.7900000000000003E-2</v>
      </c>
    </row>
    <row r="241" spans="1:11">
      <c r="A241" t="s">
        <v>17</v>
      </c>
      <c r="B241" t="s">
        <v>41</v>
      </c>
      <c r="C241" s="1">
        <v>45566</v>
      </c>
      <c r="D241">
        <v>62</v>
      </c>
      <c r="E241">
        <v>8</v>
      </c>
      <c r="F241">
        <v>540.79999999999995</v>
      </c>
      <c r="G241">
        <v>3</v>
      </c>
      <c r="H241" s="2">
        <v>0.375</v>
      </c>
      <c r="I241">
        <v>3928.71</v>
      </c>
      <c r="J241">
        <v>1</v>
      </c>
      <c r="K241" s="2">
        <v>1.09E-2</v>
      </c>
    </row>
    <row r="242" spans="1:11">
      <c r="A242" t="s">
        <v>18</v>
      </c>
      <c r="B242" t="s">
        <v>41</v>
      </c>
      <c r="C242" s="1">
        <v>45566</v>
      </c>
      <c r="D242">
        <v>70</v>
      </c>
      <c r="E242">
        <v>21</v>
      </c>
      <c r="F242">
        <v>319.62</v>
      </c>
      <c r="G242">
        <v>3</v>
      </c>
      <c r="H242" s="2">
        <v>0.14285714285714285</v>
      </c>
      <c r="I242">
        <v>2486.2199999999998</v>
      </c>
      <c r="J242">
        <v>3</v>
      </c>
      <c r="K242" s="2">
        <v>0.1036</v>
      </c>
    </row>
    <row r="243" spans="1:11">
      <c r="A243" t="s">
        <v>19</v>
      </c>
      <c r="B243" t="s">
        <v>41</v>
      </c>
      <c r="C243" s="1">
        <v>45566</v>
      </c>
      <c r="D243">
        <v>51</v>
      </c>
      <c r="E243">
        <v>7</v>
      </c>
      <c r="F243">
        <v>248.37</v>
      </c>
      <c r="G243">
        <v>7</v>
      </c>
      <c r="H243" s="2">
        <v>1</v>
      </c>
      <c r="I243">
        <v>3946.23</v>
      </c>
      <c r="J243">
        <v>2</v>
      </c>
      <c r="K243" s="2">
        <v>4.2699999999999995E-2</v>
      </c>
    </row>
    <row r="244" spans="1:11">
      <c r="A244" t="s">
        <v>20</v>
      </c>
      <c r="B244" t="s">
        <v>41</v>
      </c>
      <c r="C244" s="1">
        <v>45566</v>
      </c>
      <c r="D244">
        <v>32</v>
      </c>
      <c r="E244">
        <v>16</v>
      </c>
      <c r="F244">
        <v>393.04</v>
      </c>
      <c r="G244">
        <v>7</v>
      </c>
      <c r="H244" s="2">
        <v>0.4375</v>
      </c>
      <c r="I244">
        <v>1286.18</v>
      </c>
      <c r="J244">
        <v>1</v>
      </c>
      <c r="K244" s="2">
        <v>5.6399999999999999E-2</v>
      </c>
    </row>
    <row r="245" spans="1:11">
      <c r="A245" t="s">
        <v>21</v>
      </c>
      <c r="B245" t="s">
        <v>41</v>
      </c>
      <c r="C245" s="1">
        <v>45566</v>
      </c>
      <c r="D245">
        <v>71</v>
      </c>
      <c r="E245">
        <v>16</v>
      </c>
      <c r="F245">
        <v>323.56</v>
      </c>
      <c r="G245">
        <v>9</v>
      </c>
      <c r="H245" s="2">
        <v>0.5625</v>
      </c>
      <c r="I245">
        <v>957.05</v>
      </c>
      <c r="J245">
        <v>3</v>
      </c>
      <c r="K245" s="2">
        <v>3.1099999999999999E-2</v>
      </c>
    </row>
    <row r="246" spans="1:11">
      <c r="A246" t="s">
        <v>22</v>
      </c>
      <c r="B246" t="s">
        <v>41</v>
      </c>
      <c r="C246" s="1">
        <v>45566</v>
      </c>
      <c r="D246">
        <v>17</v>
      </c>
      <c r="E246">
        <v>7</v>
      </c>
      <c r="F246">
        <v>205.3</v>
      </c>
      <c r="G246">
        <v>4</v>
      </c>
      <c r="H246" s="2">
        <v>0.5714285714285714</v>
      </c>
      <c r="I246">
        <v>762.2</v>
      </c>
      <c r="J246">
        <v>2</v>
      </c>
      <c r="K246" s="2">
        <v>7.2300000000000003E-2</v>
      </c>
    </row>
    <row r="247" spans="1:11">
      <c r="A247" t="s">
        <v>23</v>
      </c>
      <c r="B247" t="s">
        <v>41</v>
      </c>
      <c r="C247" s="1">
        <v>45566</v>
      </c>
      <c r="D247">
        <v>35</v>
      </c>
      <c r="E247">
        <v>6</v>
      </c>
      <c r="F247">
        <v>544.78</v>
      </c>
      <c r="G247">
        <v>5</v>
      </c>
      <c r="H247" s="2">
        <v>0.83333333333333337</v>
      </c>
      <c r="I247">
        <v>3420.99</v>
      </c>
      <c r="J247">
        <v>3</v>
      </c>
      <c r="K247" s="2">
        <v>4.0500000000000001E-2</v>
      </c>
    </row>
    <row r="248" spans="1:11">
      <c r="A248" t="s">
        <v>24</v>
      </c>
      <c r="B248" t="s">
        <v>41</v>
      </c>
      <c r="C248" s="1">
        <v>45566</v>
      </c>
      <c r="D248">
        <v>73</v>
      </c>
      <c r="E248">
        <v>17</v>
      </c>
      <c r="F248">
        <v>557.29999999999995</v>
      </c>
      <c r="G248">
        <v>3</v>
      </c>
      <c r="H248" s="2">
        <v>0.17647058823529413</v>
      </c>
      <c r="I248">
        <v>376.66</v>
      </c>
      <c r="J248">
        <v>2</v>
      </c>
      <c r="K248" s="2">
        <v>3.4700000000000002E-2</v>
      </c>
    </row>
    <row r="249" spans="1:11">
      <c r="A249" t="s">
        <v>25</v>
      </c>
      <c r="B249" t="s">
        <v>41</v>
      </c>
      <c r="C249" s="1">
        <v>45566</v>
      </c>
      <c r="D249">
        <v>27</v>
      </c>
      <c r="E249">
        <v>6</v>
      </c>
      <c r="F249">
        <v>202.37</v>
      </c>
      <c r="G249">
        <v>1</v>
      </c>
      <c r="H249" s="2">
        <v>0.16666666666666666</v>
      </c>
      <c r="I249">
        <v>3781.81</v>
      </c>
      <c r="J249">
        <v>1</v>
      </c>
      <c r="K249" s="2">
        <v>4.3099999999999999E-2</v>
      </c>
    </row>
    <row r="250" spans="1:11">
      <c r="A250" t="s">
        <v>26</v>
      </c>
      <c r="B250" t="s">
        <v>41</v>
      </c>
      <c r="C250" s="1">
        <v>45566</v>
      </c>
      <c r="D250">
        <v>49</v>
      </c>
      <c r="E250">
        <v>7</v>
      </c>
      <c r="F250">
        <v>204.14</v>
      </c>
      <c r="G250">
        <v>3</v>
      </c>
      <c r="H250" s="2">
        <v>0.42857142857142855</v>
      </c>
      <c r="I250">
        <v>636.65</v>
      </c>
      <c r="J250">
        <v>3</v>
      </c>
      <c r="K250" s="2">
        <v>2.9500000000000002E-2</v>
      </c>
    </row>
    <row r="251" spans="1:11">
      <c r="A251" t="s">
        <v>27</v>
      </c>
      <c r="B251" t="s">
        <v>41</v>
      </c>
      <c r="C251" s="1">
        <v>45566</v>
      </c>
      <c r="D251">
        <v>106</v>
      </c>
      <c r="E251">
        <v>5</v>
      </c>
      <c r="F251">
        <v>163.38</v>
      </c>
      <c r="G251">
        <v>1</v>
      </c>
      <c r="H251" s="2">
        <v>0.2</v>
      </c>
      <c r="I251">
        <v>1148.1400000000001</v>
      </c>
      <c r="J251">
        <v>2</v>
      </c>
      <c r="K251" s="2">
        <v>7.8799999999999995E-2</v>
      </c>
    </row>
    <row r="252" spans="1:11">
      <c r="A252" t="s">
        <v>28</v>
      </c>
      <c r="B252" t="s">
        <v>41</v>
      </c>
      <c r="C252" s="1">
        <v>45566</v>
      </c>
      <c r="D252">
        <v>102</v>
      </c>
      <c r="E252">
        <v>5</v>
      </c>
      <c r="F252">
        <v>86.37</v>
      </c>
      <c r="G252">
        <v>5</v>
      </c>
      <c r="H252" s="2">
        <v>1</v>
      </c>
      <c r="I252">
        <v>3851.19</v>
      </c>
      <c r="J252">
        <v>1</v>
      </c>
      <c r="K252" s="2">
        <v>8.3800000000000013E-2</v>
      </c>
    </row>
    <row r="253" spans="1:11">
      <c r="A253" t="s">
        <v>29</v>
      </c>
      <c r="B253" t="s">
        <v>41</v>
      </c>
      <c r="C253" s="1">
        <v>45566</v>
      </c>
      <c r="D253">
        <v>21</v>
      </c>
      <c r="E253">
        <v>14</v>
      </c>
      <c r="F253">
        <v>537.36</v>
      </c>
      <c r="G253">
        <v>7</v>
      </c>
      <c r="H253" s="2">
        <v>0.5</v>
      </c>
      <c r="I253">
        <v>3767.78</v>
      </c>
      <c r="J253">
        <v>3</v>
      </c>
      <c r="K253" s="2">
        <v>3.44E-2</v>
      </c>
    </row>
    <row r="254" spans="1:11">
      <c r="A254" t="s">
        <v>30</v>
      </c>
      <c r="B254" t="s">
        <v>41</v>
      </c>
      <c r="C254" s="1">
        <v>45566</v>
      </c>
      <c r="D254">
        <v>104</v>
      </c>
      <c r="E254">
        <v>20</v>
      </c>
      <c r="F254">
        <v>181.9</v>
      </c>
      <c r="G254">
        <v>4</v>
      </c>
      <c r="H254" s="2">
        <v>0.2</v>
      </c>
      <c r="I254">
        <v>400.92</v>
      </c>
      <c r="J254">
        <v>2</v>
      </c>
      <c r="K254" s="2">
        <v>0.10009999999999999</v>
      </c>
    </row>
    <row r="255" spans="1:11">
      <c r="A255" t="s">
        <v>31</v>
      </c>
      <c r="B255" t="s">
        <v>41</v>
      </c>
      <c r="C255" s="1">
        <v>45566</v>
      </c>
      <c r="D255">
        <v>64</v>
      </c>
      <c r="E255">
        <v>15</v>
      </c>
      <c r="F255">
        <v>514.38</v>
      </c>
      <c r="G255">
        <v>0</v>
      </c>
      <c r="H255" s="2">
        <v>0</v>
      </c>
      <c r="I255">
        <v>1220.5899999999999</v>
      </c>
      <c r="J255">
        <v>1</v>
      </c>
      <c r="K255" s="2">
        <v>1E-3</v>
      </c>
    </row>
    <row r="256" spans="1:11">
      <c r="A256" t="s">
        <v>32</v>
      </c>
      <c r="B256" t="s">
        <v>41</v>
      </c>
      <c r="C256" s="1">
        <v>45566</v>
      </c>
      <c r="D256">
        <v>21</v>
      </c>
      <c r="E256">
        <v>15</v>
      </c>
      <c r="F256">
        <v>309.75</v>
      </c>
      <c r="G256">
        <v>2</v>
      </c>
      <c r="H256" s="2">
        <v>0.13333333333333333</v>
      </c>
      <c r="I256">
        <v>1649.09</v>
      </c>
      <c r="J256">
        <v>3</v>
      </c>
      <c r="K256" s="2">
        <v>5.0999999999999997E-2</v>
      </c>
    </row>
    <row r="257" spans="1:11">
      <c r="A257" t="s">
        <v>33</v>
      </c>
      <c r="B257" t="s">
        <v>41</v>
      </c>
      <c r="C257" s="1">
        <v>45566</v>
      </c>
      <c r="D257">
        <v>108</v>
      </c>
      <c r="E257">
        <v>6</v>
      </c>
      <c r="F257">
        <v>515.27</v>
      </c>
      <c r="G257">
        <v>2</v>
      </c>
      <c r="H257" s="2">
        <v>0.33333333333333331</v>
      </c>
      <c r="I257">
        <v>3183.87</v>
      </c>
      <c r="J257">
        <v>2</v>
      </c>
      <c r="K257" s="2">
        <v>3.04E-2</v>
      </c>
    </row>
    <row r="258" spans="1:11">
      <c r="A258" t="s">
        <v>34</v>
      </c>
      <c r="B258" t="s">
        <v>41</v>
      </c>
      <c r="C258" s="1">
        <v>45566</v>
      </c>
      <c r="D258">
        <v>63</v>
      </c>
      <c r="E258">
        <v>10</v>
      </c>
      <c r="F258">
        <v>194.21</v>
      </c>
      <c r="G258">
        <v>7</v>
      </c>
      <c r="H258" s="2">
        <v>0.7</v>
      </c>
      <c r="I258">
        <v>508.84</v>
      </c>
      <c r="J258">
        <v>1</v>
      </c>
      <c r="K258" s="2">
        <v>9.3900000000000011E-2</v>
      </c>
    </row>
    <row r="259" spans="1:11">
      <c r="A259" t="s">
        <v>35</v>
      </c>
      <c r="B259" t="s">
        <v>41</v>
      </c>
      <c r="C259" s="1">
        <v>45566</v>
      </c>
      <c r="D259">
        <v>85</v>
      </c>
      <c r="E259">
        <v>15</v>
      </c>
      <c r="F259">
        <v>400.65</v>
      </c>
      <c r="G259">
        <v>0</v>
      </c>
      <c r="H259" s="2">
        <v>0</v>
      </c>
      <c r="I259">
        <v>2890.62</v>
      </c>
      <c r="J259">
        <v>1</v>
      </c>
      <c r="K259" s="2">
        <v>2.4700000000000003E-2</v>
      </c>
    </row>
    <row r="260" spans="1:11">
      <c r="A260" t="s">
        <v>37</v>
      </c>
      <c r="B260" t="s">
        <v>41</v>
      </c>
      <c r="C260" s="1">
        <v>45566</v>
      </c>
      <c r="D260">
        <v>36</v>
      </c>
      <c r="E260">
        <v>10</v>
      </c>
      <c r="F260">
        <v>535.44000000000005</v>
      </c>
      <c r="G260">
        <v>4</v>
      </c>
      <c r="H260" s="2">
        <v>0.4</v>
      </c>
      <c r="I260">
        <v>241.26</v>
      </c>
      <c r="J260">
        <v>3</v>
      </c>
      <c r="K260" s="2">
        <v>6.3E-2</v>
      </c>
    </row>
    <row r="261" spans="1:11">
      <c r="A261" t="s">
        <v>38</v>
      </c>
      <c r="B261" t="s">
        <v>41</v>
      </c>
      <c r="C261" s="1">
        <v>45566</v>
      </c>
      <c r="D261">
        <v>34</v>
      </c>
      <c r="E261">
        <v>12</v>
      </c>
      <c r="F261">
        <v>356.4</v>
      </c>
      <c r="G261">
        <v>8</v>
      </c>
      <c r="H261" s="2">
        <v>0.66666666666666663</v>
      </c>
      <c r="I261">
        <v>4111.76</v>
      </c>
      <c r="J261">
        <v>2</v>
      </c>
      <c r="K261" s="2">
        <v>8.4700000000000011E-2</v>
      </c>
    </row>
    <row r="262" spans="1:11">
      <c r="A262" t="s">
        <v>11</v>
      </c>
      <c r="B262" t="s">
        <v>41</v>
      </c>
      <c r="C262" s="1">
        <v>45597</v>
      </c>
      <c r="D262">
        <v>67</v>
      </c>
      <c r="E262">
        <v>12</v>
      </c>
      <c r="F262">
        <v>352.6</v>
      </c>
      <c r="G262">
        <v>6</v>
      </c>
      <c r="H262" s="2">
        <v>0.5</v>
      </c>
      <c r="I262">
        <v>4402.41</v>
      </c>
      <c r="J262">
        <v>1</v>
      </c>
      <c r="K262" s="2">
        <v>2.8999999999999998E-2</v>
      </c>
    </row>
    <row r="263" spans="1:11">
      <c r="A263" t="s">
        <v>13</v>
      </c>
      <c r="B263" t="s">
        <v>41</v>
      </c>
      <c r="C263" s="1">
        <v>45597</v>
      </c>
      <c r="D263">
        <v>76</v>
      </c>
      <c r="E263">
        <v>14</v>
      </c>
      <c r="F263">
        <v>351.42</v>
      </c>
      <c r="G263">
        <v>4</v>
      </c>
      <c r="H263" s="2">
        <v>0.2857142857142857</v>
      </c>
      <c r="I263">
        <v>3917.99</v>
      </c>
      <c r="J263">
        <v>3</v>
      </c>
      <c r="K263" s="2">
        <v>4.2999999999999997E-2</v>
      </c>
    </row>
    <row r="264" spans="1:11">
      <c r="A264" t="s">
        <v>14</v>
      </c>
      <c r="B264" t="s">
        <v>41</v>
      </c>
      <c r="C264" s="1">
        <v>45597</v>
      </c>
      <c r="D264">
        <v>53</v>
      </c>
      <c r="E264">
        <v>17</v>
      </c>
      <c r="F264">
        <v>404.22</v>
      </c>
      <c r="G264">
        <v>2</v>
      </c>
      <c r="H264" s="2">
        <v>0.11764705882352941</v>
      </c>
      <c r="I264">
        <v>3669.4</v>
      </c>
      <c r="J264">
        <v>2</v>
      </c>
      <c r="K264" s="2">
        <v>4.4500000000000005E-2</v>
      </c>
    </row>
    <row r="265" spans="1:11">
      <c r="A265" t="s">
        <v>15</v>
      </c>
      <c r="B265" t="s">
        <v>41</v>
      </c>
      <c r="C265" s="1">
        <v>45597</v>
      </c>
      <c r="D265">
        <v>22</v>
      </c>
      <c r="E265">
        <v>6</v>
      </c>
      <c r="F265">
        <v>80.02</v>
      </c>
      <c r="G265">
        <v>3</v>
      </c>
      <c r="H265" s="2">
        <v>0.5</v>
      </c>
      <c r="I265">
        <v>1476.69</v>
      </c>
      <c r="J265">
        <v>1</v>
      </c>
      <c r="K265" s="2">
        <v>2.9300000000000003E-2</v>
      </c>
    </row>
    <row r="266" spans="1:11">
      <c r="A266" t="s">
        <v>16</v>
      </c>
      <c r="B266" t="s">
        <v>41</v>
      </c>
      <c r="C266" s="1">
        <v>45597</v>
      </c>
      <c r="D266">
        <v>77</v>
      </c>
      <c r="E266">
        <v>16</v>
      </c>
      <c r="F266">
        <v>502.41</v>
      </c>
      <c r="G266">
        <v>5</v>
      </c>
      <c r="H266" s="2">
        <v>0.3125</v>
      </c>
      <c r="I266">
        <v>1093.75</v>
      </c>
      <c r="J266">
        <v>3</v>
      </c>
      <c r="K266" s="2">
        <v>3.8399999999999997E-2</v>
      </c>
    </row>
    <row r="267" spans="1:11">
      <c r="A267" t="s">
        <v>17</v>
      </c>
      <c r="B267" t="s">
        <v>41</v>
      </c>
      <c r="C267" s="1">
        <v>45597</v>
      </c>
      <c r="D267">
        <v>52</v>
      </c>
      <c r="E267">
        <v>6</v>
      </c>
      <c r="F267">
        <v>492.23</v>
      </c>
      <c r="G267">
        <v>2</v>
      </c>
      <c r="H267" s="2">
        <v>0.33333333333333331</v>
      </c>
      <c r="I267">
        <v>3775.84</v>
      </c>
      <c r="J267">
        <v>2</v>
      </c>
      <c r="K267" s="2">
        <v>1.1000000000000001E-2</v>
      </c>
    </row>
    <row r="268" spans="1:11">
      <c r="A268" t="s">
        <v>18</v>
      </c>
      <c r="B268" t="s">
        <v>41</v>
      </c>
      <c r="C268" s="1">
        <v>45597</v>
      </c>
      <c r="D268">
        <v>74</v>
      </c>
      <c r="E268">
        <v>17</v>
      </c>
      <c r="F268">
        <v>284.91000000000003</v>
      </c>
      <c r="G268">
        <v>3</v>
      </c>
      <c r="H268" s="2">
        <v>0.17647058823529413</v>
      </c>
      <c r="I268">
        <v>2481.64</v>
      </c>
      <c r="J268">
        <v>1</v>
      </c>
      <c r="K268" s="2">
        <v>9.0500000000000011E-2</v>
      </c>
    </row>
    <row r="269" spans="1:11">
      <c r="A269" t="s">
        <v>19</v>
      </c>
      <c r="B269" t="s">
        <v>41</v>
      </c>
      <c r="C269" s="1">
        <v>45597</v>
      </c>
      <c r="D269">
        <v>50</v>
      </c>
      <c r="E269">
        <v>9</v>
      </c>
      <c r="F269">
        <v>237.95</v>
      </c>
      <c r="G269">
        <v>5</v>
      </c>
      <c r="H269" s="2">
        <v>0.55555555555555558</v>
      </c>
      <c r="I269">
        <v>3982.36</v>
      </c>
      <c r="J269">
        <v>3</v>
      </c>
      <c r="K269" s="2">
        <v>4.4299999999999999E-2</v>
      </c>
    </row>
    <row r="270" spans="1:11">
      <c r="A270" t="s">
        <v>20</v>
      </c>
      <c r="B270" t="s">
        <v>41</v>
      </c>
      <c r="C270" s="1">
        <v>45597</v>
      </c>
      <c r="D270">
        <v>30</v>
      </c>
      <c r="E270">
        <v>21</v>
      </c>
      <c r="F270">
        <v>372.34</v>
      </c>
      <c r="G270">
        <v>7</v>
      </c>
      <c r="H270" s="2">
        <v>0.33333333333333331</v>
      </c>
      <c r="I270">
        <v>1172.04</v>
      </c>
      <c r="J270">
        <v>2</v>
      </c>
      <c r="K270" s="2">
        <v>5.4800000000000001E-2</v>
      </c>
    </row>
    <row r="271" spans="1:11">
      <c r="A271" t="s">
        <v>21</v>
      </c>
      <c r="B271" t="s">
        <v>41</v>
      </c>
      <c r="C271" s="1">
        <v>45597</v>
      </c>
      <c r="D271">
        <v>74</v>
      </c>
      <c r="E271">
        <v>13</v>
      </c>
      <c r="F271">
        <v>324.77999999999997</v>
      </c>
      <c r="G271">
        <v>7</v>
      </c>
      <c r="H271" s="2">
        <v>0.53846153846153844</v>
      </c>
      <c r="I271">
        <v>995.6</v>
      </c>
      <c r="J271">
        <v>1</v>
      </c>
      <c r="K271" s="2">
        <v>3.0699999999999998E-2</v>
      </c>
    </row>
    <row r="272" spans="1:11">
      <c r="A272" t="s">
        <v>22</v>
      </c>
      <c r="B272" t="s">
        <v>41</v>
      </c>
      <c r="C272" s="1">
        <v>45597</v>
      </c>
      <c r="D272">
        <v>23</v>
      </c>
      <c r="E272">
        <v>7</v>
      </c>
      <c r="F272">
        <v>190.12</v>
      </c>
      <c r="G272">
        <v>4</v>
      </c>
      <c r="H272" s="2">
        <v>0.5714285714285714</v>
      </c>
      <c r="I272">
        <v>788.65</v>
      </c>
      <c r="J272">
        <v>3</v>
      </c>
      <c r="K272" s="2">
        <v>7.2000000000000008E-2</v>
      </c>
    </row>
    <row r="273" spans="1:11">
      <c r="A273" t="s">
        <v>23</v>
      </c>
      <c r="B273" t="s">
        <v>41</v>
      </c>
      <c r="C273" s="1">
        <v>45597</v>
      </c>
      <c r="D273">
        <v>32</v>
      </c>
      <c r="E273">
        <v>7</v>
      </c>
      <c r="F273">
        <v>563.41999999999996</v>
      </c>
      <c r="G273">
        <v>6</v>
      </c>
      <c r="H273" s="2">
        <v>0.8571428571428571</v>
      </c>
      <c r="I273">
        <v>3543.71</v>
      </c>
      <c r="J273">
        <v>2</v>
      </c>
      <c r="K273" s="2">
        <v>4.3799999999999999E-2</v>
      </c>
    </row>
    <row r="274" spans="1:11">
      <c r="A274" t="s">
        <v>24</v>
      </c>
      <c r="B274" t="s">
        <v>41</v>
      </c>
      <c r="C274" s="1">
        <v>45597</v>
      </c>
      <c r="D274">
        <v>59</v>
      </c>
      <c r="E274">
        <v>21</v>
      </c>
      <c r="F274">
        <v>633.37</v>
      </c>
      <c r="G274">
        <v>2</v>
      </c>
      <c r="H274" s="2">
        <v>9.5238095238095233E-2</v>
      </c>
      <c r="I274">
        <v>358.29</v>
      </c>
      <c r="J274">
        <v>1</v>
      </c>
      <c r="K274" s="2">
        <v>3.27E-2</v>
      </c>
    </row>
    <row r="275" spans="1:11">
      <c r="A275" t="s">
        <v>25</v>
      </c>
      <c r="B275" t="s">
        <v>41</v>
      </c>
      <c r="C275" s="1">
        <v>45597</v>
      </c>
      <c r="D275">
        <v>30</v>
      </c>
      <c r="E275">
        <v>6</v>
      </c>
      <c r="F275">
        <v>209.84</v>
      </c>
      <c r="G275">
        <v>1</v>
      </c>
      <c r="H275" s="2">
        <v>0.16666666666666666</v>
      </c>
      <c r="I275">
        <v>3534.1</v>
      </c>
      <c r="J275">
        <v>3</v>
      </c>
      <c r="K275" s="2">
        <v>4.2000000000000003E-2</v>
      </c>
    </row>
    <row r="276" spans="1:11">
      <c r="A276" t="s">
        <v>26</v>
      </c>
      <c r="B276" t="s">
        <v>41</v>
      </c>
      <c r="C276" s="1">
        <v>45597</v>
      </c>
      <c r="D276">
        <v>65</v>
      </c>
      <c r="E276">
        <v>9</v>
      </c>
      <c r="F276">
        <v>220.46</v>
      </c>
      <c r="G276">
        <v>3</v>
      </c>
      <c r="H276" s="2">
        <v>0.33333333333333331</v>
      </c>
      <c r="I276">
        <v>707.75</v>
      </c>
      <c r="J276">
        <v>2</v>
      </c>
      <c r="K276" s="2">
        <v>2.76E-2</v>
      </c>
    </row>
    <row r="277" spans="1:11">
      <c r="A277" t="s">
        <v>27</v>
      </c>
      <c r="B277" t="s">
        <v>41</v>
      </c>
      <c r="C277" s="1">
        <v>45597</v>
      </c>
      <c r="D277">
        <v>100</v>
      </c>
      <c r="E277">
        <v>6</v>
      </c>
      <c r="F277">
        <v>153.34</v>
      </c>
      <c r="G277">
        <v>3</v>
      </c>
      <c r="H277" s="2">
        <v>0.5</v>
      </c>
      <c r="I277">
        <v>1248.54</v>
      </c>
      <c r="J277">
        <v>1</v>
      </c>
      <c r="K277" s="2">
        <v>7.9000000000000001E-2</v>
      </c>
    </row>
    <row r="278" spans="1:11">
      <c r="A278" t="s">
        <v>28</v>
      </c>
      <c r="B278" t="s">
        <v>41</v>
      </c>
      <c r="C278" s="1">
        <v>45597</v>
      </c>
      <c r="D278">
        <v>81</v>
      </c>
      <c r="E278">
        <v>7</v>
      </c>
      <c r="F278">
        <v>79.62</v>
      </c>
      <c r="G278">
        <v>7</v>
      </c>
      <c r="H278" s="2">
        <v>1</v>
      </c>
      <c r="I278">
        <v>3892.76</v>
      </c>
      <c r="J278">
        <v>3</v>
      </c>
      <c r="K278" s="2">
        <v>9.74E-2</v>
      </c>
    </row>
    <row r="279" spans="1:11">
      <c r="A279" t="s">
        <v>29</v>
      </c>
      <c r="B279" t="s">
        <v>41</v>
      </c>
      <c r="C279" s="1">
        <v>45597</v>
      </c>
      <c r="D279">
        <v>26</v>
      </c>
      <c r="E279">
        <v>17</v>
      </c>
      <c r="F279">
        <v>504.54</v>
      </c>
      <c r="G279">
        <v>8</v>
      </c>
      <c r="H279" s="2">
        <v>0.47058823529411764</v>
      </c>
      <c r="I279">
        <v>3359.77</v>
      </c>
      <c r="J279">
        <v>2</v>
      </c>
      <c r="K279" s="2">
        <v>3.2000000000000001E-2</v>
      </c>
    </row>
    <row r="280" spans="1:11">
      <c r="A280" t="s">
        <v>30</v>
      </c>
      <c r="B280" t="s">
        <v>41</v>
      </c>
      <c r="C280" s="1">
        <v>45597</v>
      </c>
      <c r="D280">
        <v>96</v>
      </c>
      <c r="E280">
        <v>16</v>
      </c>
      <c r="F280">
        <v>161.69</v>
      </c>
      <c r="G280">
        <v>5</v>
      </c>
      <c r="H280" s="2">
        <v>0.3125</v>
      </c>
      <c r="I280">
        <v>392.05</v>
      </c>
      <c r="J280">
        <v>1</v>
      </c>
      <c r="K280" s="2">
        <v>9.5700000000000007E-2</v>
      </c>
    </row>
    <row r="281" spans="1:11">
      <c r="A281" t="s">
        <v>31</v>
      </c>
      <c r="B281" t="s">
        <v>41</v>
      </c>
      <c r="C281" s="1">
        <v>45597</v>
      </c>
      <c r="D281">
        <v>72</v>
      </c>
      <c r="E281">
        <v>12</v>
      </c>
      <c r="F281">
        <v>474.28</v>
      </c>
      <c r="G281">
        <v>1</v>
      </c>
      <c r="H281" s="2">
        <v>8.3333333333333329E-2</v>
      </c>
      <c r="I281">
        <v>1097.5999999999999</v>
      </c>
      <c r="J281">
        <v>3</v>
      </c>
      <c r="K281" s="2">
        <v>1E-3</v>
      </c>
    </row>
    <row r="282" spans="1:11">
      <c r="A282" t="s">
        <v>32</v>
      </c>
      <c r="B282" t="s">
        <v>41</v>
      </c>
      <c r="C282" s="1">
        <v>45597</v>
      </c>
      <c r="D282">
        <v>18</v>
      </c>
      <c r="E282">
        <v>15</v>
      </c>
      <c r="F282">
        <v>268.94</v>
      </c>
      <c r="G282">
        <v>1</v>
      </c>
      <c r="H282" s="2">
        <v>6.6666666666666666E-2</v>
      </c>
      <c r="I282">
        <v>1469.71</v>
      </c>
      <c r="J282">
        <v>2</v>
      </c>
      <c r="K282" s="2">
        <v>5.0900000000000001E-2</v>
      </c>
    </row>
    <row r="283" spans="1:11">
      <c r="A283" t="s">
        <v>33</v>
      </c>
      <c r="B283" t="s">
        <v>41</v>
      </c>
      <c r="C283" s="1">
        <v>45597</v>
      </c>
      <c r="D283">
        <v>87</v>
      </c>
      <c r="E283">
        <v>5</v>
      </c>
      <c r="F283">
        <v>601.28</v>
      </c>
      <c r="G283">
        <v>2</v>
      </c>
      <c r="H283" s="2">
        <v>0.4</v>
      </c>
      <c r="I283">
        <v>3491.19</v>
      </c>
      <c r="J283">
        <v>1</v>
      </c>
      <c r="K283" s="2">
        <v>2.9700000000000001E-2</v>
      </c>
    </row>
    <row r="284" spans="1:11">
      <c r="A284" t="s">
        <v>34</v>
      </c>
      <c r="B284" t="s">
        <v>41</v>
      </c>
      <c r="C284" s="1">
        <v>45597</v>
      </c>
      <c r="D284">
        <v>73</v>
      </c>
      <c r="E284">
        <v>8</v>
      </c>
      <c r="F284">
        <v>182.48</v>
      </c>
      <c r="G284">
        <v>8</v>
      </c>
      <c r="H284" s="2">
        <v>1</v>
      </c>
      <c r="I284">
        <v>548.46</v>
      </c>
      <c r="J284">
        <v>1</v>
      </c>
      <c r="K284" s="2">
        <v>8.8200000000000001E-2</v>
      </c>
    </row>
    <row r="285" spans="1:11">
      <c r="A285" t="s">
        <v>35</v>
      </c>
      <c r="B285" t="s">
        <v>41</v>
      </c>
      <c r="C285" s="1">
        <v>45597</v>
      </c>
      <c r="D285">
        <v>97</v>
      </c>
      <c r="E285">
        <v>14</v>
      </c>
      <c r="F285">
        <v>368.16</v>
      </c>
      <c r="G285">
        <v>0</v>
      </c>
      <c r="H285" s="2">
        <v>0</v>
      </c>
      <c r="I285">
        <v>3020.19</v>
      </c>
      <c r="J285">
        <v>3</v>
      </c>
      <c r="K285" s="2">
        <v>2.5099999999999997E-2</v>
      </c>
    </row>
    <row r="286" spans="1:11">
      <c r="A286" t="s">
        <v>37</v>
      </c>
      <c r="B286" t="s">
        <v>41</v>
      </c>
      <c r="C286" s="1">
        <v>45597</v>
      </c>
      <c r="D286">
        <v>28</v>
      </c>
      <c r="E286">
        <v>12</v>
      </c>
      <c r="F286">
        <v>565.51</v>
      </c>
      <c r="G286">
        <v>4</v>
      </c>
      <c r="H286" s="2">
        <v>0.33333333333333331</v>
      </c>
      <c r="I286">
        <v>231.16</v>
      </c>
      <c r="J286">
        <v>2</v>
      </c>
      <c r="K286" s="2">
        <v>6.2699999999999992E-2</v>
      </c>
    </row>
    <row r="287" spans="1:11">
      <c r="A287" t="s">
        <v>38</v>
      </c>
      <c r="B287" t="s">
        <v>41</v>
      </c>
      <c r="C287" s="1">
        <v>45597</v>
      </c>
      <c r="D287">
        <v>41</v>
      </c>
      <c r="E287">
        <v>13</v>
      </c>
      <c r="F287">
        <v>370.44</v>
      </c>
      <c r="G287">
        <v>9</v>
      </c>
      <c r="H287" s="2">
        <v>0.69230769230769229</v>
      </c>
      <c r="I287">
        <v>4484.96</v>
      </c>
      <c r="J287">
        <v>1</v>
      </c>
      <c r="K287" s="2">
        <v>8.5199999999999998E-2</v>
      </c>
    </row>
    <row r="288" spans="1:11">
      <c r="A288" t="s">
        <v>11</v>
      </c>
      <c r="B288" t="s">
        <v>41</v>
      </c>
      <c r="C288" s="1">
        <v>45627</v>
      </c>
      <c r="D288">
        <v>61</v>
      </c>
      <c r="E288">
        <v>13</v>
      </c>
      <c r="F288">
        <v>356.61</v>
      </c>
      <c r="G288">
        <v>7</v>
      </c>
      <c r="H288" s="2">
        <f t="shared" ref="H288:H313" si="0">G288/E288</f>
        <v>0.53846153846153844</v>
      </c>
      <c r="I288">
        <v>4099.6400000000003</v>
      </c>
      <c r="J288">
        <v>3</v>
      </c>
      <c r="K288" s="2">
        <v>2.9600000000000001E-2</v>
      </c>
    </row>
    <row r="289" spans="1:11">
      <c r="A289" t="s">
        <v>13</v>
      </c>
      <c r="B289" t="s">
        <v>41</v>
      </c>
      <c r="C289" s="1">
        <v>45627</v>
      </c>
      <c r="D289">
        <v>80</v>
      </c>
      <c r="E289">
        <v>13</v>
      </c>
      <c r="F289">
        <v>369.46</v>
      </c>
      <c r="G289">
        <v>4</v>
      </c>
      <c r="H289" s="2">
        <f t="shared" si="0"/>
        <v>0.30769230769230771</v>
      </c>
      <c r="I289">
        <v>3996.04</v>
      </c>
      <c r="J289">
        <v>2</v>
      </c>
      <c r="K289" s="2">
        <v>3.7499999999999999E-2</v>
      </c>
    </row>
    <row r="290" spans="1:11">
      <c r="A290" t="s">
        <v>14</v>
      </c>
      <c r="B290" t="s">
        <v>41</v>
      </c>
      <c r="C290" s="1">
        <v>45627</v>
      </c>
      <c r="D290">
        <v>51</v>
      </c>
      <c r="E290">
        <v>14</v>
      </c>
      <c r="F290">
        <v>419.93</v>
      </c>
      <c r="G290">
        <v>2</v>
      </c>
      <c r="H290" s="2">
        <f t="shared" si="0"/>
        <v>0.14285714285714285</v>
      </c>
      <c r="I290">
        <v>3543.6</v>
      </c>
      <c r="J290">
        <v>1</v>
      </c>
      <c r="K290" s="2">
        <v>4.6300000000000001E-2</v>
      </c>
    </row>
    <row r="291" spans="1:11">
      <c r="A291" t="s">
        <v>15</v>
      </c>
      <c r="B291" t="s">
        <v>41</v>
      </c>
      <c r="C291" s="1">
        <v>45627</v>
      </c>
      <c r="D291">
        <v>20</v>
      </c>
      <c r="E291">
        <v>5</v>
      </c>
      <c r="F291">
        <v>71.41</v>
      </c>
      <c r="G291">
        <v>3</v>
      </c>
      <c r="H291" s="2">
        <f t="shared" si="0"/>
        <v>0.6</v>
      </c>
      <c r="I291">
        <v>1527.27</v>
      </c>
      <c r="J291">
        <v>3</v>
      </c>
      <c r="K291" s="2">
        <v>2.7000000000000003E-2</v>
      </c>
    </row>
    <row r="292" spans="1:11">
      <c r="A292" t="s">
        <v>16</v>
      </c>
      <c r="B292" t="s">
        <v>41</v>
      </c>
      <c r="C292" s="1">
        <v>45627</v>
      </c>
      <c r="D292">
        <v>101</v>
      </c>
      <c r="E292">
        <v>14</v>
      </c>
      <c r="F292">
        <v>503.93</v>
      </c>
      <c r="G292">
        <v>5</v>
      </c>
      <c r="H292" s="2">
        <f t="shared" si="0"/>
        <v>0.35714285714285715</v>
      </c>
      <c r="I292">
        <v>1116.6099999999999</v>
      </c>
      <c r="J292">
        <v>2</v>
      </c>
      <c r="K292" s="2">
        <v>3.7000000000000005E-2</v>
      </c>
    </row>
    <row r="293" spans="1:11">
      <c r="A293" t="s">
        <v>17</v>
      </c>
      <c r="B293" t="s">
        <v>41</v>
      </c>
      <c r="C293" s="1">
        <v>45627</v>
      </c>
      <c r="D293">
        <v>70</v>
      </c>
      <c r="E293">
        <v>6</v>
      </c>
      <c r="F293">
        <v>488.97</v>
      </c>
      <c r="G293">
        <v>3</v>
      </c>
      <c r="H293" s="2">
        <f t="shared" si="0"/>
        <v>0.5</v>
      </c>
      <c r="I293">
        <v>3767.09</v>
      </c>
      <c r="J293">
        <v>1</v>
      </c>
      <c r="K293" s="2">
        <v>1.0800000000000001E-2</v>
      </c>
    </row>
    <row r="294" spans="1:11">
      <c r="A294" t="s">
        <v>18</v>
      </c>
      <c r="B294" t="s">
        <v>41</v>
      </c>
      <c r="C294" s="1">
        <v>45627</v>
      </c>
      <c r="D294">
        <v>84</v>
      </c>
      <c r="E294">
        <v>19</v>
      </c>
      <c r="F294">
        <v>301.2</v>
      </c>
      <c r="G294">
        <v>2</v>
      </c>
      <c r="H294" s="2">
        <f t="shared" si="0"/>
        <v>0.10526315789473684</v>
      </c>
      <c r="I294">
        <v>2608.4699999999998</v>
      </c>
      <c r="J294">
        <v>3</v>
      </c>
      <c r="K294" s="2">
        <v>0.1032</v>
      </c>
    </row>
    <row r="295" spans="1:11">
      <c r="A295" t="s">
        <v>19</v>
      </c>
      <c r="B295" t="s">
        <v>41</v>
      </c>
      <c r="C295" s="1">
        <v>45627</v>
      </c>
      <c r="D295">
        <v>50</v>
      </c>
      <c r="E295">
        <v>6</v>
      </c>
      <c r="F295">
        <v>219.19</v>
      </c>
      <c r="G295">
        <v>4</v>
      </c>
      <c r="H295" s="2">
        <f t="shared" si="0"/>
        <v>0.66666666666666663</v>
      </c>
      <c r="I295">
        <v>3836.95</v>
      </c>
      <c r="J295">
        <v>2</v>
      </c>
      <c r="K295" s="2">
        <v>3.8699999999999998E-2</v>
      </c>
    </row>
    <row r="296" spans="1:11">
      <c r="A296" t="s">
        <v>20</v>
      </c>
      <c r="B296" t="s">
        <v>41</v>
      </c>
      <c r="C296" s="1">
        <v>45627</v>
      </c>
      <c r="D296">
        <v>28</v>
      </c>
      <c r="E296">
        <v>19</v>
      </c>
      <c r="F296">
        <v>352.06</v>
      </c>
      <c r="G296">
        <v>9</v>
      </c>
      <c r="H296" s="2">
        <f t="shared" si="0"/>
        <v>0.47368421052631576</v>
      </c>
      <c r="I296">
        <v>1107.51</v>
      </c>
      <c r="J296">
        <v>3</v>
      </c>
      <c r="K296" s="2">
        <v>5.5E-2</v>
      </c>
    </row>
    <row r="297" spans="1:11">
      <c r="A297" t="s">
        <v>21</v>
      </c>
      <c r="B297" t="s">
        <v>41</v>
      </c>
      <c r="C297" s="1">
        <v>45627</v>
      </c>
      <c r="D297">
        <v>69</v>
      </c>
      <c r="E297">
        <v>16</v>
      </c>
      <c r="F297">
        <v>337.7</v>
      </c>
      <c r="G297">
        <v>9</v>
      </c>
      <c r="H297" s="2">
        <f t="shared" si="0"/>
        <v>0.5625</v>
      </c>
      <c r="I297">
        <v>947.47</v>
      </c>
      <c r="J297">
        <v>2</v>
      </c>
      <c r="K297" s="2">
        <v>3.56E-2</v>
      </c>
    </row>
    <row r="298" spans="1:11">
      <c r="A298" t="s">
        <v>22</v>
      </c>
      <c r="B298" t="s">
        <v>41</v>
      </c>
      <c r="C298" s="1">
        <v>45627</v>
      </c>
      <c r="D298">
        <v>18</v>
      </c>
      <c r="E298">
        <v>6</v>
      </c>
      <c r="F298">
        <v>212.39</v>
      </c>
      <c r="G298">
        <v>3</v>
      </c>
      <c r="H298" s="2">
        <f t="shared" si="0"/>
        <v>0.5</v>
      </c>
      <c r="I298">
        <v>730.81</v>
      </c>
      <c r="J298">
        <v>1</v>
      </c>
      <c r="K298" s="2">
        <v>8.6699999999999999E-2</v>
      </c>
    </row>
    <row r="299" spans="1:11">
      <c r="A299" t="s">
        <v>23</v>
      </c>
      <c r="B299" t="s">
        <v>41</v>
      </c>
      <c r="C299" s="1">
        <v>45627</v>
      </c>
      <c r="D299">
        <v>40</v>
      </c>
      <c r="E299">
        <v>7</v>
      </c>
      <c r="F299">
        <v>486.93</v>
      </c>
      <c r="G299">
        <v>7</v>
      </c>
      <c r="H299" s="2">
        <f t="shared" si="0"/>
        <v>1</v>
      </c>
      <c r="I299">
        <v>3643.63</v>
      </c>
      <c r="J299">
        <v>3</v>
      </c>
      <c r="K299" s="2">
        <v>4.0199999999999993E-2</v>
      </c>
    </row>
    <row r="300" spans="1:11">
      <c r="A300" t="s">
        <v>24</v>
      </c>
      <c r="B300" t="s">
        <v>41</v>
      </c>
      <c r="C300" s="1">
        <v>45627</v>
      </c>
      <c r="D300">
        <v>77</v>
      </c>
      <c r="E300">
        <v>16</v>
      </c>
      <c r="F300">
        <v>539.26</v>
      </c>
      <c r="G300">
        <v>3</v>
      </c>
      <c r="H300" s="2">
        <f t="shared" si="0"/>
        <v>0.1875</v>
      </c>
      <c r="I300">
        <v>379.83</v>
      </c>
      <c r="J300">
        <v>2</v>
      </c>
      <c r="K300" s="2">
        <v>3.7999999999999999E-2</v>
      </c>
    </row>
    <row r="301" spans="1:11">
      <c r="A301" t="s">
        <v>25</v>
      </c>
      <c r="B301" t="s">
        <v>41</v>
      </c>
      <c r="C301" s="1">
        <v>45627</v>
      </c>
      <c r="D301">
        <v>31</v>
      </c>
      <c r="E301">
        <v>6</v>
      </c>
      <c r="F301">
        <v>191.66</v>
      </c>
      <c r="G301">
        <v>2</v>
      </c>
      <c r="H301" s="2">
        <f t="shared" si="0"/>
        <v>0.33333333333333331</v>
      </c>
      <c r="I301">
        <v>3753.06</v>
      </c>
      <c r="J301">
        <v>1</v>
      </c>
      <c r="K301" s="2">
        <v>3.8300000000000001E-2</v>
      </c>
    </row>
    <row r="302" spans="1:11">
      <c r="A302" t="s">
        <v>26</v>
      </c>
      <c r="B302" t="s">
        <v>41</v>
      </c>
      <c r="C302" s="1">
        <v>45627</v>
      </c>
      <c r="D302">
        <v>57</v>
      </c>
      <c r="E302">
        <v>7</v>
      </c>
      <c r="F302">
        <v>190.08</v>
      </c>
      <c r="G302">
        <v>2</v>
      </c>
      <c r="H302" s="2">
        <f t="shared" si="0"/>
        <v>0.2857142857142857</v>
      </c>
      <c r="I302">
        <v>649.97</v>
      </c>
      <c r="J302">
        <v>3</v>
      </c>
      <c r="K302" s="2">
        <v>2.8799999999999999E-2</v>
      </c>
    </row>
    <row r="303" spans="1:11">
      <c r="A303" t="s">
        <v>27</v>
      </c>
      <c r="B303" t="s">
        <v>41</v>
      </c>
      <c r="C303" s="1">
        <v>45627</v>
      </c>
      <c r="D303">
        <v>88</v>
      </c>
      <c r="E303">
        <v>5</v>
      </c>
      <c r="F303">
        <v>168.89</v>
      </c>
      <c r="G303">
        <v>3</v>
      </c>
      <c r="H303" s="2">
        <f t="shared" si="0"/>
        <v>0.6</v>
      </c>
      <c r="I303">
        <v>1153.93</v>
      </c>
      <c r="J303">
        <v>2</v>
      </c>
      <c r="K303" s="2">
        <v>8.2500000000000004E-2</v>
      </c>
    </row>
    <row r="304" spans="1:11">
      <c r="A304" t="s">
        <v>28</v>
      </c>
      <c r="B304" t="s">
        <v>41</v>
      </c>
      <c r="C304" s="1">
        <v>45627</v>
      </c>
      <c r="D304">
        <v>74</v>
      </c>
      <c r="E304">
        <v>6</v>
      </c>
      <c r="F304">
        <v>87.83</v>
      </c>
      <c r="G304">
        <v>6</v>
      </c>
      <c r="H304" s="2">
        <f t="shared" si="0"/>
        <v>1</v>
      </c>
      <c r="I304">
        <v>3741.27</v>
      </c>
      <c r="J304">
        <v>1</v>
      </c>
      <c r="K304" s="2">
        <v>9.9700000000000011E-2</v>
      </c>
    </row>
    <row r="305" spans="1:11">
      <c r="A305" t="s">
        <v>29</v>
      </c>
      <c r="B305" t="s">
        <v>41</v>
      </c>
      <c r="C305" s="1">
        <v>45627</v>
      </c>
      <c r="D305">
        <v>26</v>
      </c>
      <c r="E305">
        <v>13</v>
      </c>
      <c r="F305">
        <v>543.15</v>
      </c>
      <c r="G305">
        <v>6</v>
      </c>
      <c r="H305" s="2">
        <f t="shared" si="0"/>
        <v>0.46153846153846156</v>
      </c>
      <c r="I305">
        <v>3793.56</v>
      </c>
      <c r="J305">
        <v>3</v>
      </c>
      <c r="K305" s="2">
        <v>3.56E-2</v>
      </c>
    </row>
    <row r="306" spans="1:11">
      <c r="A306" t="s">
        <v>30</v>
      </c>
      <c r="B306" t="s">
        <v>41</v>
      </c>
      <c r="C306" s="1">
        <v>45627</v>
      </c>
      <c r="D306">
        <v>99</v>
      </c>
      <c r="E306">
        <v>15</v>
      </c>
      <c r="F306">
        <v>181.12</v>
      </c>
      <c r="G306">
        <v>5</v>
      </c>
      <c r="H306" s="2">
        <f t="shared" si="0"/>
        <v>0.33333333333333331</v>
      </c>
      <c r="I306">
        <v>454.09</v>
      </c>
      <c r="J306">
        <v>2</v>
      </c>
      <c r="K306" s="2">
        <v>9.3599999999999989E-2</v>
      </c>
    </row>
    <row r="307" spans="1:11">
      <c r="A307" t="s">
        <v>31</v>
      </c>
      <c r="B307" t="s">
        <v>41</v>
      </c>
      <c r="C307" s="1">
        <v>45627</v>
      </c>
      <c r="D307">
        <v>74</v>
      </c>
      <c r="E307">
        <v>14</v>
      </c>
      <c r="F307">
        <v>508.85</v>
      </c>
      <c r="G307">
        <v>1</v>
      </c>
      <c r="H307" s="2">
        <f t="shared" si="0"/>
        <v>7.1428571428571425E-2</v>
      </c>
      <c r="I307">
        <v>1182.6300000000001</v>
      </c>
      <c r="J307">
        <v>1</v>
      </c>
      <c r="K307" s="2">
        <v>8.9999999999999998E-4</v>
      </c>
    </row>
    <row r="308" spans="1:11">
      <c r="A308" t="s">
        <v>32</v>
      </c>
      <c r="B308" t="s">
        <v>41</v>
      </c>
      <c r="C308" s="1">
        <v>45627</v>
      </c>
      <c r="D308">
        <v>21</v>
      </c>
      <c r="E308">
        <v>17</v>
      </c>
      <c r="F308">
        <v>297.83999999999997</v>
      </c>
      <c r="G308">
        <v>1</v>
      </c>
      <c r="H308" s="2">
        <f t="shared" si="0"/>
        <v>5.8823529411764705E-2</v>
      </c>
      <c r="I308">
        <v>1553.7</v>
      </c>
      <c r="J308">
        <v>1</v>
      </c>
      <c r="K308" s="2">
        <v>5.0700000000000002E-2</v>
      </c>
    </row>
    <row r="309" spans="1:11">
      <c r="A309" t="s">
        <v>33</v>
      </c>
      <c r="B309" t="s">
        <v>41</v>
      </c>
      <c r="C309" s="1">
        <v>45627</v>
      </c>
      <c r="D309">
        <v>94</v>
      </c>
      <c r="E309">
        <v>6</v>
      </c>
      <c r="F309">
        <v>537.26</v>
      </c>
      <c r="G309">
        <v>1</v>
      </c>
      <c r="H309" s="2">
        <f t="shared" si="0"/>
        <v>0.16666666666666666</v>
      </c>
      <c r="I309">
        <v>3665.55</v>
      </c>
      <c r="J309">
        <v>3</v>
      </c>
      <c r="K309" s="2">
        <v>3.0800000000000001E-2</v>
      </c>
    </row>
    <row r="310" spans="1:11">
      <c r="A310" t="s">
        <v>34</v>
      </c>
      <c r="B310" t="s">
        <v>41</v>
      </c>
      <c r="C310" s="1">
        <v>45627</v>
      </c>
      <c r="D310">
        <v>83</v>
      </c>
      <c r="E310">
        <v>9</v>
      </c>
      <c r="F310">
        <v>188.49</v>
      </c>
      <c r="G310">
        <v>7</v>
      </c>
      <c r="H310" s="2">
        <f t="shared" si="0"/>
        <v>0.77777777777777779</v>
      </c>
      <c r="I310">
        <v>545.09</v>
      </c>
      <c r="J310">
        <v>2</v>
      </c>
      <c r="K310" s="2">
        <v>8.5600000000000009E-2</v>
      </c>
    </row>
    <row r="311" spans="1:11">
      <c r="A311" t="s">
        <v>35</v>
      </c>
      <c r="B311" t="s">
        <v>41</v>
      </c>
      <c r="C311" s="1">
        <v>45627</v>
      </c>
      <c r="D311">
        <v>84</v>
      </c>
      <c r="E311">
        <v>14</v>
      </c>
      <c r="F311">
        <v>370.36</v>
      </c>
      <c r="G311">
        <v>0</v>
      </c>
      <c r="H311" s="2">
        <f t="shared" si="0"/>
        <v>0</v>
      </c>
      <c r="I311">
        <v>2605.02</v>
      </c>
      <c r="J311">
        <v>1</v>
      </c>
      <c r="K311" s="2">
        <v>2.5499999999999998E-2</v>
      </c>
    </row>
    <row r="312" spans="1:11">
      <c r="A312" t="s">
        <v>37</v>
      </c>
      <c r="B312" t="s">
        <v>41</v>
      </c>
      <c r="C312" s="1">
        <v>45627</v>
      </c>
      <c r="D312">
        <v>32</v>
      </c>
      <c r="E312">
        <v>10</v>
      </c>
      <c r="F312">
        <v>500.83</v>
      </c>
      <c r="G312">
        <v>4</v>
      </c>
      <c r="H312" s="2">
        <f t="shared" si="0"/>
        <v>0.4</v>
      </c>
      <c r="I312">
        <v>239.13</v>
      </c>
      <c r="J312">
        <v>3</v>
      </c>
      <c r="K312" s="2">
        <v>6.1900000000000004E-2</v>
      </c>
    </row>
    <row r="313" spans="1:11">
      <c r="A313" t="s">
        <v>38</v>
      </c>
      <c r="B313" t="s">
        <v>41</v>
      </c>
      <c r="C313" s="1">
        <v>45627</v>
      </c>
      <c r="D313">
        <v>39</v>
      </c>
      <c r="E313">
        <v>15</v>
      </c>
      <c r="F313">
        <v>319.08999999999997</v>
      </c>
      <c r="G313">
        <v>7</v>
      </c>
      <c r="H313" s="2">
        <f t="shared" si="0"/>
        <v>0.46666666666666667</v>
      </c>
      <c r="I313">
        <v>4573.5</v>
      </c>
      <c r="J313">
        <v>2</v>
      </c>
      <c r="K313" s="2">
        <v>8.0399999999999985E-2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0ED3-16DC-490C-87E0-AF56AC6BEB5F}">
  <dimension ref="A1:AG452"/>
  <sheetViews>
    <sheetView showGridLines="0" tabSelected="1" zoomScale="95" zoomScaleNormal="95" workbookViewId="0">
      <selection activeCell="S2" sqref="S2"/>
    </sheetView>
  </sheetViews>
  <sheetFormatPr defaultRowHeight="14"/>
  <cols>
    <col min="2" max="2" width="5.25" customWidth="1"/>
    <col min="3" max="3" width="6.5" bestFit="1" customWidth="1"/>
    <col min="4" max="4" width="7.75" bestFit="1" customWidth="1"/>
    <col min="5" max="5" width="10.25" bestFit="1" customWidth="1"/>
    <col min="6" max="6" width="9.5" customWidth="1"/>
    <col min="7" max="7" width="9.75" bestFit="1" customWidth="1"/>
    <col min="8" max="8" width="8.6640625" customWidth="1"/>
  </cols>
  <sheetData>
    <row r="1" spans="1:33" s="4" customFormat="1"/>
    <row r="2" spans="1:33" s="4" customFormat="1" ht="25">
      <c r="A2" s="12" t="s">
        <v>42</v>
      </c>
    </row>
    <row r="3" spans="1:33" s="4" customFormat="1">
      <c r="A3" s="5" t="s">
        <v>43</v>
      </c>
    </row>
    <row r="4" spans="1:33" s="4" customFormat="1"/>
    <row r="5" spans="1:33" s="4" customFormat="1"/>
    <row r="6" spans="1:33" s="4" customFormat="1">
      <c r="C6" s="9" t="s">
        <v>0</v>
      </c>
      <c r="D6" s="10" t="s">
        <v>51</v>
      </c>
      <c r="E6" s="10" t="s">
        <v>52</v>
      </c>
      <c r="F6" s="10" t="s">
        <v>53</v>
      </c>
      <c r="G6" s="10" t="s">
        <v>54</v>
      </c>
    </row>
    <row r="7" spans="1:33" s="4" customFormat="1">
      <c r="C7" s="10" t="s">
        <v>27</v>
      </c>
      <c r="D7" s="11">
        <v>1119</v>
      </c>
      <c r="E7" s="11">
        <v>61</v>
      </c>
      <c r="F7" s="11">
        <v>40</v>
      </c>
      <c r="G7" s="11">
        <v>14672.969999999998</v>
      </c>
    </row>
    <row r="8" spans="1:33" s="4" customFormat="1">
      <c r="C8" s="10" t="s">
        <v>13</v>
      </c>
      <c r="D8" s="11">
        <v>907</v>
      </c>
      <c r="E8" s="11">
        <v>141</v>
      </c>
      <c r="F8" s="11">
        <v>53</v>
      </c>
      <c r="G8" s="11">
        <v>45196.26</v>
      </c>
    </row>
    <row r="9" spans="1:33">
      <c r="A9" s="3"/>
      <c r="B9" s="3"/>
      <c r="C9" s="10" t="s">
        <v>17</v>
      </c>
      <c r="D9" s="11">
        <v>731</v>
      </c>
      <c r="E9" s="11">
        <v>79</v>
      </c>
      <c r="F9" s="11">
        <v>31</v>
      </c>
      <c r="G9" s="11">
        <v>43859.520000000004</v>
      </c>
      <c r="H9" s="3"/>
      <c r="I9" s="3"/>
      <c r="J9" s="3"/>
      <c r="K9" s="3"/>
      <c r="L9" s="3"/>
      <c r="M9" s="3"/>
      <c r="N9" s="3"/>
      <c r="O9" s="3"/>
      <c r="P9" s="3"/>
      <c r="Q9" s="3"/>
      <c r="R9" s="3"/>
      <c r="S9" s="3"/>
      <c r="T9" s="3"/>
      <c r="U9" s="3"/>
      <c r="V9" s="3"/>
      <c r="W9" s="3"/>
      <c r="X9" s="3"/>
      <c r="Y9" s="3"/>
      <c r="Z9" s="3"/>
      <c r="AA9" s="3"/>
      <c r="AB9" s="3"/>
      <c r="AC9" s="3"/>
      <c r="AD9" s="3"/>
      <c r="AE9" s="3"/>
      <c r="AF9" s="3"/>
      <c r="AG9" s="3"/>
    </row>
    <row r="10" spans="1:33">
      <c r="A10" s="3"/>
      <c r="B10" s="3"/>
      <c r="C10" s="10" t="s">
        <v>19</v>
      </c>
      <c r="D10" s="11">
        <v>660</v>
      </c>
      <c r="E10" s="11">
        <v>92</v>
      </c>
      <c r="F10" s="11">
        <v>71</v>
      </c>
      <c r="G10" s="11">
        <v>49072.98</v>
      </c>
      <c r="H10" s="3"/>
      <c r="I10" s="3"/>
      <c r="J10" s="3"/>
      <c r="K10" s="3"/>
      <c r="L10" s="3"/>
      <c r="M10" s="3"/>
      <c r="N10" s="3"/>
      <c r="O10" s="3"/>
      <c r="P10" s="3"/>
      <c r="Q10" s="3"/>
      <c r="R10" s="3"/>
      <c r="S10" s="3"/>
      <c r="T10" s="3"/>
      <c r="U10" s="3"/>
      <c r="V10" s="3"/>
      <c r="W10" s="3"/>
      <c r="X10" s="3"/>
      <c r="Y10" s="3"/>
      <c r="Z10" s="3"/>
      <c r="AA10" s="3"/>
      <c r="AB10" s="3"/>
      <c r="AC10" s="3"/>
      <c r="AD10" s="3"/>
      <c r="AE10" s="3"/>
      <c r="AF10" s="3"/>
      <c r="AG10" s="3"/>
    </row>
    <row r="11" spans="1:33">
      <c r="A11" s="3"/>
      <c r="B11" s="3"/>
      <c r="C11" s="10" t="s">
        <v>21</v>
      </c>
      <c r="D11" s="11">
        <v>806</v>
      </c>
      <c r="E11" s="11">
        <v>184</v>
      </c>
      <c r="F11" s="11">
        <v>100</v>
      </c>
      <c r="G11" s="11">
        <v>12040.489999999998</v>
      </c>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c r="A12" s="3"/>
      <c r="B12" s="3"/>
      <c r="C12" s="10" t="s">
        <v>35</v>
      </c>
      <c r="D12" s="11">
        <v>1180</v>
      </c>
      <c r="E12" s="11">
        <v>173</v>
      </c>
      <c r="F12" s="11">
        <v>4</v>
      </c>
      <c r="G12" s="11">
        <v>34781.939999999995</v>
      </c>
      <c r="H12" s="3"/>
      <c r="I12" s="3"/>
      <c r="J12" s="3"/>
      <c r="K12" s="3"/>
      <c r="L12" s="3"/>
      <c r="M12" s="3"/>
      <c r="N12" s="3"/>
      <c r="O12" s="3"/>
      <c r="P12" s="3"/>
      <c r="Q12" s="3"/>
      <c r="R12" s="3"/>
      <c r="S12" s="3"/>
      <c r="T12" s="3"/>
      <c r="U12" s="3"/>
      <c r="V12" s="3"/>
      <c r="W12" s="3"/>
      <c r="X12" s="3"/>
      <c r="Y12" s="3"/>
      <c r="Z12" s="3"/>
      <c r="AA12" s="3"/>
      <c r="AB12" s="3"/>
      <c r="AC12" s="3"/>
      <c r="AD12" s="3"/>
      <c r="AE12" s="3"/>
      <c r="AF12" s="3"/>
      <c r="AG12" s="3"/>
    </row>
    <row r="13" spans="1:33">
      <c r="A13" s="3"/>
      <c r="B13" s="3"/>
      <c r="C13" s="10" t="s">
        <v>29</v>
      </c>
      <c r="D13" s="11">
        <v>288</v>
      </c>
      <c r="E13" s="11">
        <v>180</v>
      </c>
      <c r="F13" s="11">
        <v>81</v>
      </c>
      <c r="G13" s="11">
        <v>44979.729999999996</v>
      </c>
      <c r="H13" s="3"/>
      <c r="I13" s="3"/>
      <c r="J13" s="3"/>
      <c r="K13" s="3"/>
      <c r="L13" s="3"/>
      <c r="M13" s="3"/>
      <c r="N13" s="3"/>
      <c r="O13" s="3"/>
      <c r="P13" s="3"/>
      <c r="Q13" s="3"/>
      <c r="R13" s="3"/>
      <c r="S13" s="3"/>
      <c r="T13" s="3"/>
      <c r="U13" s="3"/>
      <c r="V13" s="3"/>
      <c r="W13" s="3"/>
      <c r="X13" s="3"/>
      <c r="Y13" s="3"/>
      <c r="Z13" s="3"/>
      <c r="AA13" s="3"/>
      <c r="AB13" s="3"/>
      <c r="AC13" s="3"/>
      <c r="AD13" s="3"/>
      <c r="AE13" s="3"/>
      <c r="AF13" s="3"/>
      <c r="AG13" s="3"/>
    </row>
    <row r="14" spans="1:33">
      <c r="A14" s="3"/>
      <c r="B14" s="3"/>
      <c r="C14" s="10" t="s">
        <v>37</v>
      </c>
      <c r="D14" s="11">
        <v>407</v>
      </c>
      <c r="E14" s="11">
        <v>130</v>
      </c>
      <c r="F14" s="11">
        <v>52</v>
      </c>
      <c r="G14" s="11">
        <v>2829.58</v>
      </c>
      <c r="H14" s="3"/>
      <c r="I14" s="3"/>
      <c r="J14" s="3"/>
      <c r="K14" s="3"/>
      <c r="L14" s="3"/>
      <c r="M14" s="3"/>
      <c r="N14" s="3"/>
      <c r="O14" s="3"/>
      <c r="P14" s="3"/>
      <c r="Q14" s="3"/>
      <c r="R14" s="3"/>
      <c r="S14" s="3"/>
      <c r="T14" s="3"/>
      <c r="U14" s="3"/>
      <c r="V14" s="3"/>
      <c r="W14" s="3"/>
      <c r="X14" s="3"/>
      <c r="Y14" s="3"/>
      <c r="Z14" s="3"/>
      <c r="AA14" s="3"/>
      <c r="AB14" s="3"/>
      <c r="AC14" s="3"/>
      <c r="AD14" s="3"/>
      <c r="AE14" s="3"/>
      <c r="AF14" s="3"/>
      <c r="AG14" s="3"/>
    </row>
    <row r="15" spans="1:33">
      <c r="A15" s="3"/>
      <c r="B15" s="3"/>
      <c r="C15" s="10" t="s">
        <v>14</v>
      </c>
      <c r="D15" s="11">
        <v>617</v>
      </c>
      <c r="E15" s="11">
        <v>177</v>
      </c>
      <c r="F15" s="11">
        <v>28</v>
      </c>
      <c r="G15" s="11">
        <v>42137.53</v>
      </c>
      <c r="H15" s="3"/>
      <c r="I15" s="3"/>
      <c r="J15" s="3"/>
      <c r="K15" s="3"/>
      <c r="L15" s="3"/>
      <c r="M15" s="3"/>
      <c r="N15" s="3"/>
      <c r="O15" s="3"/>
      <c r="P15" s="3"/>
      <c r="Q15" s="3"/>
      <c r="R15" s="3"/>
      <c r="S15" s="3"/>
      <c r="T15" s="3"/>
      <c r="U15" s="3"/>
      <c r="V15" s="3"/>
      <c r="W15" s="3"/>
      <c r="X15" s="3"/>
      <c r="Y15" s="3"/>
      <c r="Z15" s="3"/>
      <c r="AA15" s="3"/>
      <c r="AB15" s="3"/>
      <c r="AC15" s="3"/>
      <c r="AD15" s="3"/>
      <c r="AE15" s="3"/>
      <c r="AF15" s="3"/>
      <c r="AG15" s="3"/>
    </row>
    <row r="16" spans="1:33">
      <c r="A16" s="3"/>
      <c r="B16" s="3"/>
      <c r="C16" s="10" t="s">
        <v>33</v>
      </c>
      <c r="D16" s="11">
        <v>1151</v>
      </c>
      <c r="E16" s="11">
        <v>69</v>
      </c>
      <c r="F16" s="11">
        <v>18</v>
      </c>
      <c r="G16" s="11">
        <v>41544.150000000009</v>
      </c>
      <c r="H16" s="3"/>
      <c r="I16" s="3"/>
      <c r="J16" s="3"/>
      <c r="K16" s="3"/>
      <c r="L16" s="3"/>
      <c r="M16" s="3"/>
      <c r="N16" s="3"/>
      <c r="O16" s="3"/>
      <c r="P16" s="3"/>
      <c r="Q16" s="3"/>
      <c r="R16" s="3"/>
      <c r="S16" s="3"/>
      <c r="T16" s="3"/>
      <c r="U16" s="3"/>
      <c r="V16" s="3"/>
      <c r="W16" s="3"/>
      <c r="X16" s="3"/>
      <c r="Y16" s="3"/>
      <c r="Z16" s="3"/>
      <c r="AA16" s="3"/>
      <c r="AB16" s="3"/>
      <c r="AC16" s="3"/>
      <c r="AD16" s="3"/>
      <c r="AE16" s="3"/>
      <c r="AF16" s="3"/>
      <c r="AG16" s="3"/>
    </row>
    <row r="17" spans="1:33">
      <c r="A17" s="3"/>
      <c r="B17" s="3"/>
      <c r="C17" s="10" t="s">
        <v>11</v>
      </c>
      <c r="D17" s="11">
        <v>783</v>
      </c>
      <c r="E17" s="11">
        <v>181</v>
      </c>
      <c r="F17" s="11">
        <v>77</v>
      </c>
      <c r="G17" s="11">
        <v>49041</v>
      </c>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33">
      <c r="A18" s="3"/>
      <c r="B18" s="3"/>
      <c r="C18" s="10" t="s">
        <v>32</v>
      </c>
      <c r="D18" s="11">
        <v>246</v>
      </c>
      <c r="E18" s="11">
        <v>172</v>
      </c>
      <c r="F18" s="11">
        <v>17</v>
      </c>
      <c r="G18" s="11">
        <v>18659.18</v>
      </c>
      <c r="H18" s="3"/>
      <c r="I18" s="3"/>
      <c r="J18" s="3"/>
      <c r="K18" s="3"/>
      <c r="L18" s="3"/>
      <c r="M18" s="3"/>
      <c r="N18" s="3"/>
      <c r="O18" s="3"/>
      <c r="P18" s="3"/>
      <c r="Q18" s="3"/>
      <c r="R18" s="3"/>
      <c r="S18" s="3"/>
      <c r="T18" s="3"/>
      <c r="U18" s="3"/>
      <c r="V18" s="3"/>
      <c r="W18" s="3"/>
      <c r="X18" s="3"/>
      <c r="Y18" s="3"/>
      <c r="Z18" s="3"/>
      <c r="AA18" s="3"/>
      <c r="AB18" s="3"/>
      <c r="AC18" s="3"/>
      <c r="AD18" s="3"/>
      <c r="AE18" s="3"/>
      <c r="AF18" s="3"/>
      <c r="AG18" s="3"/>
    </row>
    <row r="19" spans="1:33">
      <c r="A19" s="3"/>
      <c r="B19" s="3"/>
      <c r="C19" s="10" t="s">
        <v>25</v>
      </c>
      <c r="D19" s="11">
        <v>379</v>
      </c>
      <c r="E19" s="11">
        <v>87</v>
      </c>
      <c r="F19" s="11">
        <v>18</v>
      </c>
      <c r="G19" s="11">
        <v>45591.429999999993</v>
      </c>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c r="A20" s="3"/>
      <c r="B20" s="3"/>
      <c r="C20" s="10" t="s">
        <v>15</v>
      </c>
      <c r="D20" s="11">
        <v>241</v>
      </c>
      <c r="E20" s="11">
        <v>80</v>
      </c>
      <c r="F20" s="11">
        <v>40</v>
      </c>
      <c r="G20" s="11">
        <v>18368.47</v>
      </c>
      <c r="H20" s="3"/>
      <c r="I20" s="3"/>
      <c r="J20" s="3"/>
      <c r="K20" s="3"/>
      <c r="L20" s="3"/>
      <c r="M20" s="3"/>
      <c r="N20" s="3"/>
      <c r="O20" s="3"/>
      <c r="P20" s="3"/>
      <c r="Q20" s="3"/>
      <c r="R20" s="3"/>
      <c r="S20" s="3"/>
      <c r="T20" s="3"/>
      <c r="U20" s="3"/>
      <c r="V20" s="3"/>
      <c r="W20" s="3"/>
      <c r="X20" s="3"/>
      <c r="Y20" s="3"/>
      <c r="Z20" s="3"/>
      <c r="AA20" s="3"/>
      <c r="AB20" s="3"/>
      <c r="AC20" s="3"/>
      <c r="AD20" s="3"/>
      <c r="AE20" s="3"/>
      <c r="AF20" s="3"/>
      <c r="AG20" s="3"/>
    </row>
    <row r="21" spans="1:33">
      <c r="A21" s="3"/>
      <c r="B21" s="3"/>
      <c r="C21" s="10" t="s">
        <v>22</v>
      </c>
      <c r="D21" s="11">
        <v>226</v>
      </c>
      <c r="E21" s="11">
        <v>91</v>
      </c>
      <c r="F21" s="11">
        <v>73</v>
      </c>
      <c r="G21" s="11">
        <v>9402.9399999999987</v>
      </c>
      <c r="H21" s="3"/>
      <c r="I21" s="3"/>
      <c r="J21" s="3"/>
      <c r="K21" s="3"/>
      <c r="L21" s="3"/>
      <c r="M21" s="3"/>
      <c r="N21" s="3"/>
      <c r="O21" s="3"/>
      <c r="P21" s="3"/>
      <c r="Q21" s="3"/>
      <c r="R21" s="3"/>
      <c r="S21" s="3"/>
      <c r="T21" s="3"/>
      <c r="U21" s="3"/>
      <c r="V21" s="3"/>
      <c r="W21" s="3"/>
      <c r="X21" s="3"/>
      <c r="Y21" s="3"/>
      <c r="Z21" s="3"/>
      <c r="AA21" s="3"/>
      <c r="AB21" s="3"/>
      <c r="AC21" s="3"/>
      <c r="AD21" s="3"/>
      <c r="AE21" s="3"/>
      <c r="AF21" s="3"/>
      <c r="AG21" s="3"/>
    </row>
    <row r="22" spans="1:33">
      <c r="A22" s="3"/>
      <c r="B22" s="3"/>
      <c r="C22" s="10" t="s">
        <v>34</v>
      </c>
      <c r="D22" s="11">
        <v>848</v>
      </c>
      <c r="E22" s="11">
        <v>99</v>
      </c>
      <c r="F22" s="11">
        <v>84</v>
      </c>
      <c r="G22" s="11">
        <v>6133.4100000000008</v>
      </c>
      <c r="H22" s="3"/>
      <c r="I22" s="3"/>
      <c r="J22" s="3"/>
      <c r="K22" s="3"/>
      <c r="L22" s="3"/>
      <c r="M22" s="3"/>
      <c r="N22" s="3"/>
      <c r="O22" s="3"/>
      <c r="P22" s="3"/>
      <c r="Q22" s="3"/>
      <c r="R22" s="3"/>
      <c r="S22" s="3"/>
      <c r="T22" s="3"/>
      <c r="U22" s="3"/>
      <c r="V22" s="3"/>
      <c r="W22" s="3"/>
      <c r="X22" s="3"/>
      <c r="Y22" s="3"/>
      <c r="Z22" s="3"/>
      <c r="AA22" s="3"/>
      <c r="AB22" s="3"/>
      <c r="AC22" s="3"/>
      <c r="AD22" s="3"/>
      <c r="AE22" s="3"/>
      <c r="AF22" s="3"/>
      <c r="AG22" s="3"/>
    </row>
    <row r="23" spans="1:33">
      <c r="A23" s="3"/>
      <c r="B23" s="3"/>
      <c r="C23" s="10" t="s">
        <v>28</v>
      </c>
      <c r="D23" s="11">
        <v>1023</v>
      </c>
      <c r="E23" s="11">
        <v>76</v>
      </c>
      <c r="F23" s="11">
        <v>64</v>
      </c>
      <c r="G23" s="11">
        <v>45365.2</v>
      </c>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c r="A24" s="3"/>
      <c r="B24" s="3"/>
      <c r="C24" s="10" t="s">
        <v>16</v>
      </c>
      <c r="D24" s="11">
        <v>977</v>
      </c>
      <c r="E24" s="11">
        <v>166</v>
      </c>
      <c r="F24" s="11">
        <v>55</v>
      </c>
      <c r="G24" s="11">
        <v>12143.710000000001</v>
      </c>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c r="A25" s="3"/>
      <c r="B25" s="3"/>
      <c r="C25" s="10" t="s">
        <v>26</v>
      </c>
      <c r="D25" s="11">
        <v>747</v>
      </c>
      <c r="E25" s="11">
        <v>97</v>
      </c>
      <c r="F25" s="11">
        <v>31</v>
      </c>
      <c r="G25" s="11">
        <v>7844.18</v>
      </c>
      <c r="H25" s="3"/>
      <c r="I25" s="3"/>
      <c r="J25" s="3"/>
      <c r="K25" s="3"/>
      <c r="L25" s="3"/>
      <c r="M25" s="3"/>
      <c r="N25" s="3"/>
      <c r="O25" s="3"/>
      <c r="P25" s="3"/>
      <c r="Q25" s="3"/>
      <c r="R25" s="3"/>
      <c r="S25" s="3"/>
      <c r="T25" s="3"/>
      <c r="U25" s="3"/>
      <c r="V25" s="3"/>
      <c r="W25" s="3"/>
      <c r="X25" s="3"/>
      <c r="Y25" s="3"/>
      <c r="Z25" s="3"/>
      <c r="AA25" s="3"/>
      <c r="AB25" s="3"/>
      <c r="AC25" s="3"/>
      <c r="AD25" s="3"/>
      <c r="AE25" s="3"/>
      <c r="AF25" s="3"/>
      <c r="AG25" s="3"/>
    </row>
    <row r="26" spans="1:33">
      <c r="A26" s="3"/>
      <c r="B26" s="3"/>
      <c r="C26" s="10" t="s">
        <v>38</v>
      </c>
      <c r="D26" s="11">
        <v>453</v>
      </c>
      <c r="E26" s="11">
        <v>184</v>
      </c>
      <c r="F26" s="11">
        <v>92</v>
      </c>
      <c r="G26" s="11">
        <v>50524.4</v>
      </c>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c r="A27" s="3"/>
      <c r="B27" s="3"/>
      <c r="C27" s="10" t="s">
        <v>20</v>
      </c>
      <c r="D27" s="11">
        <v>367</v>
      </c>
      <c r="E27" s="11">
        <v>217</v>
      </c>
      <c r="F27" s="11">
        <v>103</v>
      </c>
      <c r="G27" s="11">
        <v>14209.390000000001</v>
      </c>
      <c r="H27" s="3"/>
      <c r="I27" s="3"/>
      <c r="J27" s="3"/>
      <c r="K27" s="3"/>
      <c r="L27" s="3"/>
      <c r="M27" s="3"/>
      <c r="N27" s="3"/>
      <c r="O27" s="3"/>
      <c r="P27" s="3"/>
      <c r="Q27" s="3"/>
      <c r="R27" s="3"/>
      <c r="S27" s="3"/>
      <c r="T27" s="3"/>
      <c r="U27" s="3"/>
      <c r="V27" s="3"/>
      <c r="W27" s="3"/>
      <c r="X27" s="3"/>
      <c r="Y27" s="3"/>
      <c r="Z27" s="3"/>
      <c r="AA27" s="3"/>
      <c r="AB27" s="3"/>
      <c r="AC27" s="3"/>
      <c r="AD27" s="3"/>
      <c r="AE27" s="3"/>
      <c r="AF27" s="3"/>
      <c r="AG27" s="3"/>
    </row>
    <row r="28" spans="1:33">
      <c r="A28" s="3"/>
      <c r="B28" s="3"/>
      <c r="C28" s="10" t="s">
        <v>24</v>
      </c>
      <c r="D28" s="11">
        <v>882</v>
      </c>
      <c r="E28" s="11">
        <v>225</v>
      </c>
      <c r="F28" s="11">
        <v>30</v>
      </c>
      <c r="G28" s="11">
        <v>4278.2</v>
      </c>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c r="A29" s="3"/>
      <c r="B29" s="3"/>
      <c r="C29" s="10" t="s">
        <v>23</v>
      </c>
      <c r="D29" s="11">
        <v>420</v>
      </c>
      <c r="E29" s="11">
        <v>74</v>
      </c>
      <c r="F29" s="11">
        <v>59</v>
      </c>
      <c r="G29" s="11">
        <v>44146.13</v>
      </c>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c r="A30" s="3"/>
      <c r="B30" s="3"/>
      <c r="C30" s="10" t="s">
        <v>18</v>
      </c>
      <c r="D30" s="11">
        <v>924</v>
      </c>
      <c r="E30" s="11">
        <v>218</v>
      </c>
      <c r="F30" s="11">
        <v>30</v>
      </c>
      <c r="G30" s="11">
        <v>29842.950000000004</v>
      </c>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c r="A31" s="3"/>
      <c r="B31" s="3"/>
      <c r="C31" s="10" t="s">
        <v>31</v>
      </c>
      <c r="D31" s="11">
        <v>831</v>
      </c>
      <c r="E31" s="11">
        <v>154</v>
      </c>
      <c r="F31" s="11">
        <v>4</v>
      </c>
      <c r="G31" s="11">
        <v>14526.439999999999</v>
      </c>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c r="A32" s="3"/>
      <c r="B32" s="3"/>
      <c r="C32" s="10" t="s">
        <v>30</v>
      </c>
      <c r="D32" s="11">
        <v>1087</v>
      </c>
      <c r="E32" s="11">
        <v>212</v>
      </c>
      <c r="F32" s="11">
        <v>54</v>
      </c>
      <c r="G32" s="11">
        <v>5002.7100000000009</v>
      </c>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c r="A33" s="3"/>
      <c r="B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3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spans="1:3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spans="1:3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spans="1:3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row>
    <row r="41" spans="1:3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row>
    <row r="42" spans="1:3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row>
    <row r="43" spans="1:3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spans="1:3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row>
    <row r="45" spans="1:3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spans="1:3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spans="1:3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spans="1:3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spans="1:3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1:3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1:3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1:3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1:3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1:3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1:3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1:3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1:3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1:3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1:3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1:3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1:3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1:3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1:3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1:3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1:3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1:3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1:3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1:3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1:3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1:3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1:3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1:3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1:3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1:3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1:3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1:3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1:3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1:3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1:3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1:3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1:3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1:3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1:3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1:3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1:3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1:3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spans="1:3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1:3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1:3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1:3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1:3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1:3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spans="1:3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spans="1:3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1:3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1:3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1:3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1:3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1:3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spans="1:3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spans="1:3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1:3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1:3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1:3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spans="1:3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spans="1:3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spans="1:3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1:3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spans="1:3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spans="1:3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1:3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1:3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spans="1:3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spans="1:3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spans="1:3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1:3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1:3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1:3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1:3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spans="1:3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1:3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1:3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spans="1:3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spans="1:3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1:3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1:3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spans="1:3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1:3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1:3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1:3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1:3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spans="1:3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1:3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spans="1:3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1:3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1:3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1:3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1:3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1:3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spans="1:3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1:3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1:3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1:3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1:3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1:3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1:3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spans="1:3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1:3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1:3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1:3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spans="1:3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spans="1:3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spans="1:3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spans="1:3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spans="1:3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row>
    <row r="205" spans="1:3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row>
    <row r="206" spans="1:3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spans="1:3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spans="1:3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spans="1:3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spans="1:3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row>
    <row r="211" spans="1:3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spans="1:3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spans="1:3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spans="1:3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spans="1:3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row>
    <row r="216" spans="1:3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spans="1:3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spans="1:3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spans="1:3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spans="1:3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spans="1:3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spans="1:3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spans="1:3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spans="1:3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spans="1:3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spans="1:3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spans="1:3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spans="1:3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spans="1:3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spans="1:3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spans="1:3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spans="1:3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spans="1: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spans="1:3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spans="1:3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spans="1:3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spans="1:3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spans="1:3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spans="1:3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spans="1:3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spans="1:3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spans="1:3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spans="1:3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spans="1:3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spans="1:3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spans="1:3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spans="1:3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spans="1:3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spans="1:3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spans="1:3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spans="1:3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spans="1:3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spans="1:3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spans="1:3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spans="1:3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spans="1:3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spans="1:3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spans="1:3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spans="1:3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spans="1:3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spans="1:3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spans="1:3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spans="1:3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spans="1:3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spans="1:3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spans="1:3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spans="1:3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spans="1:3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spans="1:3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spans="1:3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spans="1:3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spans="1:3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spans="1:3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spans="1:3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spans="1:3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spans="1:3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spans="1:3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spans="1:3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spans="1:3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spans="1:3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spans="1:3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spans="1:3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spans="1:3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spans="1:3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spans="1:3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spans="1:3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spans="1:3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spans="1:3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spans="1:3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spans="1:3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spans="1:3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spans="1:3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spans="1:3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spans="1:3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spans="1:3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spans="1:3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spans="1:3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spans="1:3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spans="1:3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spans="1:3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spans="1:3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spans="1:3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spans="1:3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spans="1:3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spans="1:3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spans="1:3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spans="1:3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spans="1:3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spans="1:3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spans="1:3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spans="1:3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spans="1:3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spans="1:3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spans="1:3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spans="1:3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spans="1:3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spans="1:3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spans="1:3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spans="1:3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spans="1:3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spans="1:3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spans="1:3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spans="1:3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spans="1:3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spans="1:3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spans="1:3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spans="1:3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spans="1:3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spans="1:3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spans="1:3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spans="1:3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spans="1:3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spans="1: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spans="1:3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spans="1:3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spans="1:3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spans="1:3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spans="1:3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spans="1:3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spans="1:3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spans="1:3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spans="1:3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spans="1:3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spans="1:3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spans="1:3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spans="1:3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spans="1:3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spans="1:3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spans="1:3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spans="1:3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spans="1:3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spans="1:3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spans="1:3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spans="1:3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spans="1:3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spans="1:3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spans="1:3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spans="1:3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spans="1:3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spans="1:3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spans="1:3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spans="1:3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spans="1:3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spans="1:3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spans="1:3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spans="1:3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spans="1:3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spans="1:3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spans="1:3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spans="1:3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spans="1:3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spans="1:3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spans="1:3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spans="1:3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spans="1:3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spans="1:3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spans="1:3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spans="1:3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spans="1:3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spans="1:3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spans="1:3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spans="1:3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spans="1:3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spans="1:3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spans="1:3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spans="1:3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spans="1:3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spans="1:3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spans="1:3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spans="1:3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spans="1:3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spans="1:3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spans="1:3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spans="1:3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spans="1:3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spans="1:3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spans="1:3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spans="1:3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spans="1:3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spans="1:3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spans="1:3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spans="1:3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spans="1:3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spans="1:3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spans="1:3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spans="1:3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spans="1:3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spans="1:3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spans="1:3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spans="1:3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spans="1:3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spans="1:3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spans="1:3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spans="1:3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spans="1:3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spans="1:3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spans="1:3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spans="1:3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spans="1:3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spans="1:3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spans="1:3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spans="1:3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spans="1:3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spans="1:3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spans="1:3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spans="1:3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spans="1:3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spans="1:3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spans="1:3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spans="1:3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spans="1:3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spans="1:3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row r="433" spans="1: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row>
    <row r="434" spans="1:3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row>
    <row r="435" spans="1:3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row>
    <row r="436" spans="1:3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row>
    <row r="437" spans="1:3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row>
    <row r="438" spans="1:3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row>
    <row r="439" spans="1:3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row>
    <row r="440" spans="1:3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row>
    <row r="441" spans="1:3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row>
    <row r="442" spans="1:3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row>
    <row r="443" spans="1:3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row>
    <row r="444" spans="1:3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row>
    <row r="445" spans="1:3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row>
    <row r="446" spans="1:3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row>
    <row r="447" spans="1:3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row>
    <row r="448" spans="1:3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row>
    <row r="449" spans="1:3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row>
    <row r="450" spans="1:33">
      <c r="A450" s="3"/>
      <c r="B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row>
    <row r="451" spans="1:33">
      <c r="A451" s="3"/>
      <c r="B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row>
    <row r="452" spans="1:33">
      <c r="A452" s="3"/>
      <c r="B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row>
  </sheetData>
  <conditionalFormatting pivot="1" sqref="D7:D32">
    <cfRule type="dataBar" priority="4">
      <dataBar>
        <cfvo type="min"/>
        <cfvo type="max"/>
        <color rgb="FF66CCFF"/>
      </dataBar>
      <extLst>
        <ext xmlns:x14="http://schemas.microsoft.com/office/spreadsheetml/2009/9/main" uri="{B025F937-C7B1-47D3-B67F-A62EFF666E3E}">
          <x14:id>{0FDA384B-8D44-4D3F-9CF7-8942AD2F59D1}</x14:id>
        </ext>
      </extLst>
    </cfRule>
  </conditionalFormatting>
  <conditionalFormatting pivot="1" sqref="E7:E32">
    <cfRule type="dataBar" priority="3">
      <dataBar>
        <cfvo type="min"/>
        <cfvo type="max"/>
        <color rgb="FFCCFF33"/>
      </dataBar>
      <extLst>
        <ext xmlns:x14="http://schemas.microsoft.com/office/spreadsheetml/2009/9/main" uri="{B025F937-C7B1-47D3-B67F-A62EFF666E3E}">
          <x14:id>{D8E0A345-1146-4ED3-96DB-83211236AED3}</x14:id>
        </ext>
      </extLst>
    </cfRule>
  </conditionalFormatting>
  <conditionalFormatting pivot="1" sqref="F7:F32">
    <cfRule type="dataBar" priority="2">
      <dataBar>
        <cfvo type="min"/>
        <cfvo type="max"/>
        <color rgb="FFCCFF33"/>
      </dataBar>
      <extLst>
        <ext xmlns:x14="http://schemas.microsoft.com/office/spreadsheetml/2009/9/main" uri="{B025F937-C7B1-47D3-B67F-A62EFF666E3E}">
          <x14:id>{6717C695-5F5C-4AF2-87F4-CD84AC995C28}</x14:id>
        </ext>
      </extLst>
    </cfRule>
  </conditionalFormatting>
  <conditionalFormatting pivot="1" sqref="G7:G32">
    <cfRule type="dataBar" priority="1">
      <dataBar>
        <cfvo type="min"/>
        <cfvo type="max"/>
        <color theme="4"/>
      </dataBar>
      <extLst>
        <ext xmlns:x14="http://schemas.microsoft.com/office/spreadsheetml/2009/9/main" uri="{B025F937-C7B1-47D3-B67F-A62EFF666E3E}">
          <x14:id>{FCF7962B-E19B-40A5-A889-D255D6318F37}</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0FDA384B-8D44-4D3F-9CF7-8942AD2F59D1}">
            <x14:dataBar minLength="0" maxLength="100">
              <x14:cfvo type="autoMin"/>
              <x14:cfvo type="autoMax"/>
              <x14:negativeFillColor rgb="FFFF0000"/>
              <x14:axisColor rgb="FF000000"/>
            </x14:dataBar>
          </x14:cfRule>
          <xm:sqref>D7:D32</xm:sqref>
        </x14:conditionalFormatting>
        <x14:conditionalFormatting xmlns:xm="http://schemas.microsoft.com/office/excel/2006/main" pivot="1">
          <x14:cfRule type="dataBar" id="{D8E0A345-1146-4ED3-96DB-83211236AED3}">
            <x14:dataBar minLength="0" maxLength="100">
              <x14:cfvo type="autoMin"/>
              <x14:cfvo type="autoMax"/>
              <x14:negativeFillColor rgb="FFFF0000"/>
              <x14:axisColor rgb="FF000000"/>
            </x14:dataBar>
          </x14:cfRule>
          <xm:sqref>E7:E32</xm:sqref>
        </x14:conditionalFormatting>
        <x14:conditionalFormatting xmlns:xm="http://schemas.microsoft.com/office/excel/2006/main" pivot="1">
          <x14:cfRule type="dataBar" id="{6717C695-5F5C-4AF2-87F4-CD84AC995C28}">
            <x14:dataBar minLength="0" maxLength="100">
              <x14:cfvo type="autoMin"/>
              <x14:cfvo type="autoMax"/>
              <x14:negativeFillColor rgb="FFFF0000"/>
              <x14:axisColor rgb="FF000000"/>
            </x14:dataBar>
          </x14:cfRule>
          <xm:sqref>F7:F32</xm:sqref>
        </x14:conditionalFormatting>
        <x14:conditionalFormatting xmlns:xm="http://schemas.microsoft.com/office/excel/2006/main" pivot="1">
          <x14:cfRule type="dataBar" id="{FCF7962B-E19B-40A5-A889-D255D6318F37}">
            <x14:dataBar minLength="0" maxLength="100">
              <x14:cfvo type="autoMin"/>
              <x14:cfvo type="autoMax"/>
              <x14:negativeFillColor rgb="FFFF0000"/>
              <x14:axisColor rgb="FF000000"/>
            </x14:dataBar>
          </x14:cfRule>
          <xm:sqref>G7:G32</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Sheet2</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USER</cp:lastModifiedBy>
  <dcterms:created xsi:type="dcterms:W3CDTF">2025-05-15T15:00:12Z</dcterms:created>
  <dcterms:modified xsi:type="dcterms:W3CDTF">2026-02-16T14:21:29Z</dcterms:modified>
</cp:coreProperties>
</file>